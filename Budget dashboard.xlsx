
<file path=[Content_Types].xml><?xml version="1.0" encoding="utf-8"?>
<Types xmlns="http://schemas.openxmlformats.org/package/2006/content-types"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SHA EXCEL\"/>
    </mc:Choice>
  </mc:AlternateContent>
  <xr:revisionPtr revIDLastSave="0" documentId="8_{C5E515B2-B8DC-49C9-98C7-482F198FD2CF}" xr6:coauthVersionLast="36" xr6:coauthVersionMax="36" xr10:uidLastSave="{00000000-0000-0000-0000-000000000000}"/>
  <bookViews>
    <workbookView xWindow="0" yWindow="0" windowWidth="14400" windowHeight="4395" xr2:uid="{76520242-FD52-4CDF-BC6A-B4D41F8DBFCC}"/>
  </bookViews>
  <sheets>
    <sheet name="DASHBOARD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6" i="1" l="1"/>
  <c r="E103" i="1"/>
  <c r="E104" i="1"/>
  <c r="E105" i="1"/>
  <c r="E102" i="1"/>
  <c r="D106" i="1"/>
  <c r="C106" i="1"/>
  <c r="E98" i="1"/>
  <c r="E95" i="1"/>
  <c r="E96" i="1"/>
  <c r="E97" i="1"/>
  <c r="E94" i="1"/>
  <c r="E93" i="1"/>
  <c r="E84" i="1"/>
  <c r="E85" i="1"/>
  <c r="E86" i="1"/>
  <c r="E87" i="1"/>
  <c r="E88" i="1"/>
  <c r="E80" i="1"/>
  <c r="E71" i="1"/>
  <c r="E68" i="1"/>
  <c r="E69" i="1"/>
  <c r="E70" i="1"/>
  <c r="E67" i="1"/>
  <c r="E66" i="1"/>
  <c r="B61" i="1"/>
</calcChain>
</file>

<file path=xl/sharedStrings.xml><?xml version="1.0" encoding="utf-8"?>
<sst xmlns="http://schemas.openxmlformats.org/spreadsheetml/2006/main" count="87" uniqueCount="76">
  <si>
    <t>Actual Materials Costs</t>
  </si>
  <si>
    <t>Description</t>
  </si>
  <si>
    <t>Unit</t>
  </si>
  <si>
    <t>Quantity</t>
  </si>
  <si>
    <t>Unit Cost</t>
  </si>
  <si>
    <t>Total</t>
  </si>
  <si>
    <t>Material A</t>
  </si>
  <si>
    <t>Pack</t>
  </si>
  <si>
    <t>Material B</t>
  </si>
  <si>
    <t>Each</t>
  </si>
  <si>
    <t>Material C</t>
  </si>
  <si>
    <t>Pound</t>
  </si>
  <si>
    <t>Material D</t>
  </si>
  <si>
    <t>Material E</t>
  </si>
  <si>
    <t>Total Actual Materials Costs</t>
  </si>
  <si>
    <t>Project Name</t>
  </si>
  <si>
    <t>Project Number</t>
  </si>
  <si>
    <t>Date</t>
  </si>
  <si>
    <t>Creayted by</t>
  </si>
  <si>
    <t>Project Alpha</t>
  </si>
  <si>
    <t>123-ABC</t>
  </si>
  <si>
    <t>Asha padhi</t>
  </si>
  <si>
    <t>Actual Labor Costs</t>
  </si>
  <si>
    <t>Name</t>
  </si>
  <si>
    <t>Role</t>
  </si>
  <si>
    <t>Hours</t>
  </si>
  <si>
    <t>Rate</t>
  </si>
  <si>
    <t>Lori Garcia</t>
  </si>
  <si>
    <t>Project Manager</t>
  </si>
  <si>
    <t>Romy Bailey</t>
  </si>
  <si>
    <t>Advisor</t>
  </si>
  <si>
    <t>Tony Weller</t>
  </si>
  <si>
    <t>Supervisor</t>
  </si>
  <si>
    <t>Donald Valley</t>
  </si>
  <si>
    <t>Operations</t>
  </si>
  <si>
    <t>Janet Jeffs</t>
  </si>
  <si>
    <t>Sales</t>
  </si>
  <si>
    <t>Total Actual Labor Costs</t>
  </si>
  <si>
    <t>Actual Fixed Costs</t>
  </si>
  <si>
    <t>Purchase/Lease Cost</t>
  </si>
  <si>
    <t>Maintenance Cost</t>
  </si>
  <si>
    <t>Travel</t>
  </si>
  <si>
    <t>7 days</t>
  </si>
  <si>
    <t xml:space="preserve"> $-   </t>
  </si>
  <si>
    <t>Equipment</t>
  </si>
  <si>
    <t>4 pieces</t>
  </si>
  <si>
    <t>Storage Space</t>
  </si>
  <si>
    <t>1 unit</t>
  </si>
  <si>
    <t xml:space="preserve">$145.00 </t>
  </si>
  <si>
    <t>Insurance</t>
  </si>
  <si>
    <t xml:space="preserve">$160.00 </t>
  </si>
  <si>
    <t>Marketing</t>
  </si>
  <si>
    <t>8 ads</t>
  </si>
  <si>
    <t xml:space="preserve">$5,000.00 </t>
  </si>
  <si>
    <t>Total Actual Fixed Costs</t>
  </si>
  <si>
    <t xml:space="preserve">$7,455.00 </t>
  </si>
  <si>
    <t>Actual Overhead Allocation</t>
  </si>
  <si>
    <t>Overhead Type</t>
  </si>
  <si>
    <t>Allocation Base</t>
  </si>
  <si>
    <t>Value</t>
  </si>
  <si>
    <t>Allocated Overhead</t>
  </si>
  <si>
    <t>Production</t>
  </si>
  <si>
    <t>Administrative</t>
  </si>
  <si>
    <t>Financial</t>
  </si>
  <si>
    <t>Total Overhead</t>
  </si>
  <si>
    <t>Planned vs. Actual Costs</t>
  </si>
  <si>
    <t>Cost Category</t>
  </si>
  <si>
    <t>Planned Costs</t>
  </si>
  <si>
    <t>Actual Costs</t>
  </si>
  <si>
    <t>Balance</t>
  </si>
  <si>
    <t>Materials Costs</t>
  </si>
  <si>
    <t>Labor Costs</t>
  </si>
  <si>
    <t>Fixed Costs</t>
  </si>
  <si>
    <t>Overhead Costs</t>
  </si>
  <si>
    <t>Totals</t>
  </si>
  <si>
    <t>Budget Dashboard 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</si>
</sst>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3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22"/>
      <color rgb="FF000000"/>
      <name val="Century Gothic"/>
      <family val="2"/>
    </font>
    <font>
      <sz val="11"/>
      <color rgb="FF000000"/>
      <name val="Aptos Narrow"/>
      <family val="2"/>
    </font>
    <font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6"/>
      <color rgb="FF000000"/>
      <name val="Century Gothic"/>
      <family val="2"/>
    </font>
    <font>
      <b/>
      <sz val="16"/>
      <color rgb="FF000000"/>
      <name val="Aptos Narrow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1"/>
      <color theme="0"/>
      <name val="Aptos Narrow"/>
      <family val="2"/>
    </font>
    <font>
      <b/>
      <sz val="24"/>
      <color theme="1"/>
      <name val="Bellany"/>
    </font>
  </fonts>
  <fills count="1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E7E98B"/>
        <bgColor rgb="FF000000"/>
      </patternFill>
    </fill>
    <fill>
      <patternFill patternType="solid">
        <fgColor rgb="FFF1F2B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7F8D8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000000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43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0" borderId="7" xfId="0" applyFont="1" applyBorder="1"/>
    <xf numFmtId="22" fontId="9" fillId="0" borderId="7" xfId="0" applyNumberFormat="1" applyFont="1" applyBorder="1"/>
    <xf numFmtId="164" fontId="5" fillId="0" borderId="2" xfId="0" applyNumberFormat="1" applyFont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0" fillId="2" borderId="1" xfId="1" applyNumberFormat="1" applyFont="1"/>
    <xf numFmtId="2" fontId="5" fillId="0" borderId="2" xfId="0" applyNumberFormat="1" applyFont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left" vertical="center" wrapText="1" indent="1"/>
    </xf>
    <xf numFmtId="0" fontId="11" fillId="0" borderId="0" xfId="0" applyFont="1" applyFill="1"/>
    <xf numFmtId="0" fontId="2" fillId="0" borderId="0" xfId="0" applyFont="1" applyFill="1"/>
    <xf numFmtId="0" fontId="12" fillId="7" borderId="0" xfId="0" applyFont="1" applyFill="1" applyAlignment="1">
      <alignment vertical="center"/>
    </xf>
    <xf numFmtId="164" fontId="5" fillId="9" borderId="2" xfId="0" applyNumberFormat="1" applyFont="1" applyFill="1" applyBorder="1" applyAlignment="1">
      <alignment horizontal="center" vertical="center"/>
    </xf>
    <xf numFmtId="0" fontId="6" fillId="8" borderId="0" xfId="0" applyFont="1" applyFill="1" applyAlignment="1">
      <alignment horizontal="right" vertical="center" indent="1"/>
    </xf>
    <xf numFmtId="164" fontId="6" fillId="9" borderId="2" xfId="0" applyNumberFormat="1" applyFont="1" applyFill="1" applyBorder="1" applyAlignment="1">
      <alignment vertical="center"/>
    </xf>
    <xf numFmtId="164" fontId="6" fillId="9" borderId="2" xfId="0" applyNumberFormat="1" applyFont="1" applyFill="1" applyBorder="1" applyAlignment="1">
      <alignment horizontal="center" vertical="center"/>
    </xf>
    <xf numFmtId="164" fontId="10" fillId="8" borderId="1" xfId="1" applyNumberFormat="1" applyFont="1" applyFill="1"/>
    <xf numFmtId="0" fontId="6" fillId="3" borderId="2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 indent="1"/>
    </xf>
    <xf numFmtId="0" fontId="6" fillId="0" borderId="2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 indent="1"/>
    </xf>
    <xf numFmtId="0" fontId="5" fillId="0" borderId="6" xfId="0" applyFont="1" applyBorder="1" applyAlignment="1">
      <alignment horizontal="left" vertical="center" wrapText="1" indent="1"/>
    </xf>
    <xf numFmtId="0" fontId="6" fillId="8" borderId="4" xfId="0" applyFont="1" applyFill="1" applyBorder="1" applyAlignment="1">
      <alignment horizontal="right" vertical="center" indent="1"/>
    </xf>
    <xf numFmtId="0" fontId="6" fillId="8" borderId="3" xfId="0" applyFont="1" applyFill="1" applyBorder="1" applyAlignment="1">
      <alignment horizontal="right" vertical="center" indent="1"/>
    </xf>
    <xf numFmtId="2" fontId="6" fillId="8" borderId="4" xfId="0" applyNumberFormat="1" applyFont="1" applyFill="1" applyBorder="1" applyAlignment="1">
      <alignment horizontal="right" vertical="center" indent="1"/>
    </xf>
    <xf numFmtId="2" fontId="6" fillId="8" borderId="3" xfId="0" applyNumberFormat="1" applyFont="1" applyFill="1" applyBorder="1" applyAlignment="1">
      <alignment horizontal="right" vertical="center" indent="1"/>
    </xf>
    <xf numFmtId="164" fontId="6" fillId="8" borderId="4" xfId="0" applyNumberFormat="1" applyFont="1" applyFill="1" applyBorder="1" applyAlignment="1">
      <alignment horizontal="right" vertical="center" indent="1"/>
    </xf>
    <xf numFmtId="164" fontId="6" fillId="8" borderId="3" xfId="0" applyNumberFormat="1" applyFont="1" applyFill="1" applyBorder="1" applyAlignment="1">
      <alignment horizontal="right" vertical="center" indent="1"/>
    </xf>
    <xf numFmtId="0" fontId="6" fillId="0" borderId="4" xfId="0" applyFont="1" applyBorder="1" applyAlignment="1">
      <alignment horizontal="right" vertical="center" indent="1"/>
    </xf>
    <xf numFmtId="0" fontId="6" fillId="0" borderId="3" xfId="0" applyFont="1" applyBorder="1" applyAlignment="1">
      <alignment horizontal="right" vertical="center" indent="1"/>
    </xf>
    <xf numFmtId="0" fontId="6" fillId="3" borderId="5" xfId="0" applyFont="1" applyFill="1" applyBorder="1" applyAlignment="1">
      <alignment horizontal="left" vertical="center" indent="1"/>
    </xf>
    <xf numFmtId="0" fontId="6" fillId="3" borderId="6" xfId="0" applyFont="1" applyFill="1" applyBorder="1" applyAlignment="1">
      <alignment horizontal="left" vertical="center" indent="1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colors>
    <mruColors>
      <color rgb="FF33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MC" sz="1800" b="1"/>
              <a:t>PLAN</a:t>
            </a:r>
            <a:r>
              <a:rPr lang="fr-MC" sz="1800" b="1" baseline="0"/>
              <a:t> VS ACTUAL COST</a:t>
            </a:r>
            <a:endParaRPr lang="fr-MC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title>
    <c:autoTitleDeleted val="0"/>
    <c:plotArea>
      <c:layout>
        <c:manualLayout>
          <c:layoutTarget val="inner"/>
          <c:xMode val="edge"/>
          <c:yMode val="edge"/>
          <c:x val="0.18187270341207348"/>
          <c:y val="0.13443231876717165"/>
          <c:w val="0.77368285214348209"/>
          <c:h val="0.73903414120018629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DASHBOARD!$C$101</c:f>
              <c:strCache>
                <c:ptCount val="1"/>
                <c:pt idx="0">
                  <c:v>Planned Costs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DASHBOARD!$A$102:$A$105</c:f>
              <c:strCache>
                <c:ptCount val="4"/>
                <c:pt idx="0">
                  <c:v>Materials Costs</c:v>
                </c:pt>
                <c:pt idx="1">
                  <c:v>Labor Costs</c:v>
                </c:pt>
                <c:pt idx="2">
                  <c:v>Fixed Costs</c:v>
                </c:pt>
                <c:pt idx="3">
                  <c:v>Overhead Costs</c:v>
                </c:pt>
              </c:strCache>
            </c:strRef>
          </c:cat>
          <c:val>
            <c:numRef>
              <c:f>DASHBOARD!$C$102:$C$105</c:f>
              <c:numCache>
                <c:formatCode>_-[$$-409]* #,##0.00_ ;_-[$$-409]* \-#,##0.00\ ;_-[$$-409]* "-"??_ ;_-@_ </c:formatCode>
                <c:ptCount val="4"/>
                <c:pt idx="0">
                  <c:v>6000</c:v>
                </c:pt>
                <c:pt idx="1">
                  <c:v>75000</c:v>
                </c:pt>
                <c:pt idx="2">
                  <c:v>62000</c:v>
                </c:pt>
                <c:pt idx="3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73-43ED-89AC-3DD068775B89}"/>
            </c:ext>
          </c:extLst>
        </c:ser>
        <c:ser>
          <c:idx val="2"/>
          <c:order val="2"/>
          <c:tx>
            <c:strRef>
              <c:f>DASHBOARD!$D$101</c:f>
              <c:strCache>
                <c:ptCount val="1"/>
                <c:pt idx="0">
                  <c:v>Actual Costs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DASHBOARD!$A$102:$A$105</c:f>
              <c:strCache>
                <c:ptCount val="4"/>
                <c:pt idx="0">
                  <c:v>Materials Costs</c:v>
                </c:pt>
                <c:pt idx="1">
                  <c:v>Labor Costs</c:v>
                </c:pt>
                <c:pt idx="2">
                  <c:v>Fixed Costs</c:v>
                </c:pt>
                <c:pt idx="3">
                  <c:v>Overhead Costs</c:v>
                </c:pt>
              </c:strCache>
            </c:strRef>
          </c:cat>
          <c:val>
            <c:numRef>
              <c:f>DASHBOARD!$D$102:$D$105</c:f>
              <c:numCache>
                <c:formatCode>_-[$$-409]* #,##0.00_ ;_-[$$-409]* \-#,##0.00\ ;_-[$$-409]* "-"??_ ;_-@_ </c:formatCode>
                <c:ptCount val="4"/>
                <c:pt idx="0">
                  <c:v>3176</c:v>
                </c:pt>
                <c:pt idx="1">
                  <c:v>5285</c:v>
                </c:pt>
                <c:pt idx="2">
                  <c:v>7455</c:v>
                </c:pt>
                <c:pt idx="3">
                  <c:v>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73-43ED-89AC-3DD068775B89}"/>
            </c:ext>
          </c:extLst>
        </c:ser>
        <c:ser>
          <c:idx val="3"/>
          <c:order val="3"/>
          <c:tx>
            <c:strRef>
              <c:f>DASHBOARD!$E$101</c:f>
              <c:strCache>
                <c:ptCount val="1"/>
                <c:pt idx="0">
                  <c:v>Balance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DASHBOARD!$A$102:$A$105</c:f>
              <c:strCache>
                <c:ptCount val="4"/>
                <c:pt idx="0">
                  <c:v>Materials Costs</c:v>
                </c:pt>
                <c:pt idx="1">
                  <c:v>Labor Costs</c:v>
                </c:pt>
                <c:pt idx="2">
                  <c:v>Fixed Costs</c:v>
                </c:pt>
                <c:pt idx="3">
                  <c:v>Overhead Costs</c:v>
                </c:pt>
              </c:strCache>
            </c:strRef>
          </c:cat>
          <c:val>
            <c:numRef>
              <c:f>DASHBOARD!$E$102:$E$105</c:f>
              <c:numCache>
                <c:formatCode>_-[$$-409]* #,##0.00_ ;_-[$$-409]* \-#,##0.00\ ;_-[$$-409]* "-"??_ ;_-@_ </c:formatCode>
                <c:ptCount val="4"/>
                <c:pt idx="0">
                  <c:v>2824</c:v>
                </c:pt>
                <c:pt idx="1">
                  <c:v>69715</c:v>
                </c:pt>
                <c:pt idx="2">
                  <c:v>54545</c:v>
                </c:pt>
                <c:pt idx="3">
                  <c:v>-1600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73-43ED-89AC-3DD068775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8784192"/>
        <c:axId val="19937307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DASHBOARD!$B$101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DASHBOARD!$A$102:$A$105</c15:sqref>
                        </c15:formulaRef>
                      </c:ext>
                    </c:extLst>
                    <c:strCache>
                      <c:ptCount val="4"/>
                      <c:pt idx="0">
                        <c:v>Materials Costs</c:v>
                      </c:pt>
                      <c:pt idx="1">
                        <c:v>Labor Costs</c:v>
                      </c:pt>
                      <c:pt idx="2">
                        <c:v>Fixed Costs</c:v>
                      </c:pt>
                      <c:pt idx="3">
                        <c:v>Overhead Costs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DASHBOARD!$B$102:$B$105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F73-43ED-89AC-3DD068775B89}"/>
                  </c:ext>
                </c:extLst>
              </c15:ser>
            </c15:filteredBarSeries>
          </c:ext>
        </c:extLst>
      </c:barChart>
      <c:catAx>
        <c:axId val="201878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1993730784"/>
        <c:crosses val="autoZero"/>
        <c:auto val="1"/>
        <c:lblAlgn val="ctr"/>
        <c:lblOffset val="100"/>
        <c:noMultiLvlLbl val="0"/>
      </c:catAx>
      <c:valAx>
        <c:axId val="199373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i-IN"/>
          </a:p>
        </c:txPr>
        <c:crossAx val="201878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legend>
    <c:plotVisOnly val="1"/>
    <c:dispBlanksAs val="gap"/>
    <c:showDLblsOverMax val="0"/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DASHBOARD!$A$102</c:f>
              <c:strCache>
                <c:ptCount val="1"/>
                <c:pt idx="0">
                  <c:v>Materials Costs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B2-48EC-8184-7272D882B98F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64-48D8-B5FB-8E5B3AB4B472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64-48D8-B5FB-8E5B3AB4B472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F64-48D8-B5FB-8E5B3AB4B4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DASHBOARD!$B$101:$E$101</c:f>
              <c:strCache>
                <c:ptCount val="4"/>
                <c:pt idx="1">
                  <c:v>Planned Costs</c:v>
                </c:pt>
                <c:pt idx="2">
                  <c:v>Actual Costs</c:v>
                </c:pt>
                <c:pt idx="3">
                  <c:v>Balance</c:v>
                </c:pt>
              </c:strCache>
            </c:strRef>
          </c:cat>
          <c:val>
            <c:numRef>
              <c:f>DASHBOARD!$B$102:$E$102</c:f>
              <c:numCache>
                <c:formatCode>_-[$$-409]* #,##0.00_ ;_-[$$-409]* \-#,##0.00\ ;_-[$$-409]* "-"??_ ;_-@_ </c:formatCode>
                <c:ptCount val="4"/>
                <c:pt idx="1">
                  <c:v>6000</c:v>
                </c:pt>
                <c:pt idx="2">
                  <c:v>3176</c:v>
                </c:pt>
                <c:pt idx="3">
                  <c:v>2824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4-48D8-B5FB-8E5B3AB4B47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Labour Costs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DASHBOARD!$A$103</c:f>
              <c:strCache>
                <c:ptCount val="1"/>
                <c:pt idx="0">
                  <c:v>Labor Costs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3B-484B-890D-D107A2582D44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67-4290-960C-0E41462662F5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767-4290-960C-0E41462662F5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D3B-484B-890D-D107A2582D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DASHBOARD!$B$101:$E$101</c:f>
              <c:strCache>
                <c:ptCount val="4"/>
                <c:pt idx="1">
                  <c:v>Planned Costs</c:v>
                </c:pt>
                <c:pt idx="2">
                  <c:v>Actual Costs</c:v>
                </c:pt>
                <c:pt idx="3">
                  <c:v>Balance</c:v>
                </c:pt>
              </c:strCache>
            </c:strRef>
          </c:cat>
          <c:val>
            <c:numRef>
              <c:f>DASHBOARD!$B$103:$E$103</c:f>
              <c:numCache>
                <c:formatCode>_-[$$-409]* #,##0.00_ ;_-[$$-409]* \-#,##0.00\ ;_-[$$-409]* "-"??_ ;_-@_ </c:formatCode>
                <c:ptCount val="4"/>
                <c:pt idx="1">
                  <c:v>75000</c:v>
                </c:pt>
                <c:pt idx="2">
                  <c:v>5285</c:v>
                </c:pt>
                <c:pt idx="3">
                  <c:v>69715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67-4290-960C-0E41462662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title>
    <c:autoTitleDeleted val="0"/>
    <c:plotArea>
      <c:layout>
        <c:manualLayout>
          <c:layoutTarget val="inner"/>
          <c:xMode val="edge"/>
          <c:yMode val="edge"/>
          <c:x val="0.3358140952911523"/>
          <c:y val="0.20280155642023348"/>
          <c:w val="0.32837180941769539"/>
          <c:h val="0.63182818101044758"/>
        </c:manualLayout>
      </c:layout>
      <c:pieChart>
        <c:varyColors val="1"/>
        <c:ser>
          <c:idx val="0"/>
          <c:order val="0"/>
          <c:tx>
            <c:strRef>
              <c:f>DASHBOARD!$A$104</c:f>
              <c:strCache>
                <c:ptCount val="1"/>
                <c:pt idx="0">
                  <c:v>Fixed Costs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6D-4D38-A1B3-88D0AF961DE5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283-4206-9A77-58A7BB6430E3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6D-4D38-A1B3-88D0AF961DE5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83-4206-9A77-58A7BB6430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DASHBOARD!$B$104:$E$104</c:f>
              <c:numCache>
                <c:formatCode>_-[$$-409]* #,##0.00_ ;_-[$$-409]* \-#,##0.00\ ;_-[$$-409]* "-"??_ ;_-@_ </c:formatCode>
                <c:ptCount val="4"/>
                <c:pt idx="1">
                  <c:v>62000</c:v>
                </c:pt>
                <c:pt idx="2">
                  <c:v>7455</c:v>
                </c:pt>
                <c:pt idx="3">
                  <c:v>54545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83-4206-9A77-58A7BB643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title>
    <c:autoTitleDeleted val="0"/>
    <c:plotArea>
      <c:layout>
        <c:manualLayout>
          <c:layoutTarget val="inner"/>
          <c:xMode val="edge"/>
          <c:yMode val="edge"/>
          <c:x val="0.31522944006999126"/>
          <c:y val="0.18560185185185185"/>
          <c:w val="0.40287467191601051"/>
          <c:h val="0.6714577865266842"/>
        </c:manualLayout>
      </c:layout>
      <c:pieChart>
        <c:varyColors val="1"/>
        <c:ser>
          <c:idx val="0"/>
          <c:order val="0"/>
          <c:tx>
            <c:strRef>
              <c:f>DASHBOARD!$A$105</c:f>
              <c:strCache>
                <c:ptCount val="1"/>
                <c:pt idx="0">
                  <c:v>Overhead Costs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3F-4742-95DE-BA3B6C9B70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964-43AF-8FF8-B82726F5DEAA}"/>
              </c:ext>
            </c:extLst>
          </c:dPt>
          <c:dPt>
            <c:idx val="2"/>
            <c:bubble3D val="0"/>
            <c:spPr>
              <a:solidFill>
                <a:srgbClr val="3366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64-43AF-8FF8-B82726F5DEAA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3F-4742-95DE-BA3B6C9B70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hi-I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DASHBOARD!$B$105:$E$105</c:f>
              <c:numCache>
                <c:formatCode>_-[$$-409]* #,##0.00_ ;_-[$$-409]* \-#,##0.00\ ;_-[$$-409]* "-"??_ ;_-@_ </c:formatCode>
                <c:ptCount val="4"/>
                <c:pt idx="1">
                  <c:v>5000</c:v>
                </c:pt>
                <c:pt idx="2">
                  <c:v>6600</c:v>
                </c:pt>
                <c:pt idx="3">
                  <c:v>-1600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4-43AF-8FF8-B82726F5DEA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i-I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i-I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18</xdr:row>
      <xdr:rowOff>0</xdr:rowOff>
    </xdr:from>
    <xdr:to>
      <xdr:col>10</xdr:col>
      <xdr:colOff>304800</xdr:colOff>
      <xdr:row>19</xdr:row>
      <xdr:rowOff>114300</xdr:rowOff>
    </xdr:to>
    <xdr:sp macro="" textlink="">
      <xdr:nvSpPr>
        <xdr:cNvPr id="2049" name="AutoShape 1" descr="data:image/png;base64,iVBORw0KGgoAAAANSUhEUgAABAMAAAF6CAYAAABsq5GAAAAQAElEQVR4AezdD5xU1X3//w9iAouw7KCgsKhZ0H5NJInFGjVVfPD7gSS/ollqwTbpl2TRlgi0P4Hkp5Iipbb++SpqW8DSJtDQNCj+DERtHxr8lm/R/KJFibZg/CYCalxQkJ1lQRaMxN99Hznj3dmZ2ZndOzN3Zl48OHPvnHvuOec+772zcz5z585Jxj8EEEAAAQQQQAABBBBAAAEEEKh2gS7b54IBe9+++wMSBhwDHAMcAxwDHAMcAxwDHAMcAxwDHAMcAxwD1XQMZNuWe3a7YIDCAw1DrzISBhwDHAMcAxwDHAMcAxwDHAMcAxwDHAMcAxwDFXwM5DG2N/vgE6lggAICJAQQQAABBBBAAAEEEEAAAQQQqCyB3vSWYEBv1FgHAQQQQAABBBBAAAEEEEAAgfIJ9LllggF9JqQCBBBAAAEEEEAAAQQQQAABBIotEG39BAOi9aQ2BBBAAAEEEEAAAQQQQAABBKIRKGItBAOKiEvVCCCAAAIIIIAAAggggAACCBQiUKqyBANKJU07CCCAAAIIIIAAAggggAACCHQXKEsOwYCysNMoAggggAACCCCAAAIIIIBA7QqUf8sJBpR/H9ADBBBAAAEEEEAAAQQQQACBaheI2fYRDIjZDqE7CCCAAAIIIIAAAggggAAC1SEQ560gGBDnvUPfEEAAAQQQQAABBBBAAAEEKkmgYvpKMKBidhUdRQABBBBAAAEEEEAAAQQQiJ9AZfaIYEBl7jd6jQACCCCAAAIIIIAAAgggUC6BKmiXYEAV7EQ2AQEEEEAAAQQQQAABBBBAoLgC1VY7wYBq26NsDwIIIIAAAggggAACCCCAQBQCVV0HwYCq3r1sHAIIIIAAAh8JrFr1iM1qWWrbXnjlo8wizSWTHfbNb9zvkuaL1AzVIoAAAgggELFA7VRHMKB29jVbigACCCBQBoHHHt3iBuAahPeU7rh9jXV2HitDL2kSAQQQQACBGhao0U0nGFCjO57NRgABBBBAAAEEEEAAAQRqVYDtNiMYwFGAAAIIIIBAEQWuunqCrV6zJJVWrLzZzj33LBs0aKAtXnx9Kl9lblnUYnV1A4rYG6pGAAEEEECgZgXY8DQBggFpIDxFAAEEEEAAAQQQQAABBBCoBgG2IZcAwYBcOixDAAEEEEAAAQQQQAABBBCoHAF6mrcAwYC8qSiIAAIIIIAAAggggAACCCAQNwH60zsBggG9c2MtBBBAAAEESibwwQcf2Kuv/tJWrFhvf/ond6d+nUDzytMylcnUIf2MoP8Vg+ee3e6KLF/+UKoO/dqBy0x7+PWvf20/3faK3XP3P9kNX789VV5t/v3f/8B272o1tanpvLl3WSG/hHDkyFH73j/9q6v3ull/YX/2rZW2fftOV19aN3iKAAIIIIBAJgHyIhAgGBABIlUggAACCCBQLIH29kP2N3+9zg22X3j+Z3b48JFUU5pX3u1/tdr++v51prKphX2Y2bNnv91227ftb//2IXv55V127NivUrWpzWd/8l/2l3/5HfvHNY/Ze796P7Usnxmtf++yf7Z/+7etrl4FFNTefff+s/3gB/9m779/PJ9qKIMAAgggUHMCbHDUAgQDohalPgQQQAABBCISeOeddvfJ/Esv/cIGnTLQfvd3/w9bdu98+87qW13SvPJOGVxn//mfv3BltU64+fEXnpf6xYKLLxnnFs2bd20qT7924DJPPOza9abdded37fXX9lp9/Sn232f+jv3133zDlVe7vs1BQX+efvqntva7jwcD+PwDAv/fj18ytTF8eMKWLPlj+/Z3Ftuib82yYcPq7V//5cf2P5/6jxM9YYIAAgggUPMCABRVgGBAUXmpHAEEEEAAgd4JvPfer+yf1v6L6VPzc845M/ik/gabetXllkjUW79+/VzSvPL+/M9nm8qo7Orv/NA6O4/1qtG2toP27X/YaIcOvWufu3ic3XnXn9rEib9lQ4ac4urr16+fa19t3nnnn9gnP9lke/e+Y++9l38wYPdre1xdv/d7/6ed/YmRdtJJJ7m+33Tz1+yyyy6wCRN+0y3nAQEEEECgNgXY6tIJEAwonTUtIYAAAgggkLfASy/+3F2if/rpw+yPZ/+uNTQMybruqacOdWVU9n//79ftpz99JWvZXAs2b37e3nrrgP23/3a2fXXm79jAgR/PWvyUU+rshjm/5wb0WQvlWHCk82iXpaed1mAts662ukEDu+TzBAEEEECg6gXYwDIJEAwoEzzNIoAAAgggkE3g+PFf27PP/pdp+oUvft40UM5W1uerjMrqO/i6j4DW9cvymb57uNN0E7/+/U+yL3zxt/MalA8ePMgmT77YXaWQTxsq8+lPn+PK/78P/0976aWfc9NAoZAQQACBmhNgg+MgQDAgDnuBPiCAAAIIIBASOHKk095+u81dnj927JmhJblnVVaX9Gtd1ZG7dNelyfZD1nagw04//VQbM2ZU14U5np1zzlnu3gI5inRZ9LnPjXNfB9AvCvzNXz9od/+PtfbG63sJCnRR4gkCCCBQhQJsUuwETopdj+gQAggggAACNS6gO+ofO/aeffzjJ9spp+R/2bzKah2tqzoKYfzVe7+y48ePB+3V2cknn5z3qh/7WP+gfP+8y598cn/76tem2nXXf8ndFPGVV16zpUv/wZYvX2/vvtuZdz0URAABBBCIvwA9jLcAwYB47x96hwACCCBQgwIaMA8Y8HF3Y7533z2at4DK6mZ+Wld15L1iUPBjH/+Y9e/f3w3I338//xsC/upXx+39An8O8KSTTrLPf/6zdvfdN9qMGZNdUOCn216xu+78R9NNDIPu8B8BBBBAoDIF6HUFCRAMqKCdRVcRQAABBGpDYNCgOjv99GF2+PARe+ONvXlvtMpqHa2rOvJeMSiYaBhiw06tt7ffPmC7dn14x/8gu8f/r776hnV0vNtjuUwFBg78uH3hi583/TLBb/zG2fbmm/tMNzHMVJY8BBBAAIG4CtCvShU4qVI7Tr8RQAABBBCoVoH+/U+yC3/rk27z/vVffmwHDx5287keVEZlVUbrqg7N55tOGVxn48aNNd148F8ef9o6j/R8RYICD5s2Pdfn7/ufckqd/c7Uy0x9fv21vaafVcy335RDAAEEECiDAE1WhQDBgKrYjWwEAggggEC1Cfzmb57nfuJvz5799verfuAu38+2jfquvcqorH4WUOtmK5srf+LE37IzzjjVXn31l/YP/7ChxzZXf+eHpsF7rjrDy/R1ggcf/JH9/Oevh7PdvIIZv/71B+5XDD72sZNdHg8IIIAAAvERoCfVJ0AwoPr2KVuEAAIIIFAFAnV1A2zWdV9yXxf42c922803/61t+tGzlkx2uE/i9ROCmleelqmMvh6gdbRubwiGDRtq1/9Rs/sVgxdf/HnWNh9/7Gm3TGX06wX6RD+f9hRk+F+bt5p+ReCZZ1509xpQgEDzD6570lXx2c+e63560D3hAQEEEECgnAK0XeUCBAOqfAezeQgggAAClStw2mkNdtPNX3NXCLx7uNPWBQPmhQvus+tm/YVLmleelumKAJXVOn3Z4jFjRgdtftXOPPN0U72qX+2E2/zBD/7Njrx71C659NM2++u/a7phYT5tqo9XX32FHT36numqgj/+o780Jc3rpwY///nPmH56MJ+6KIMAAgggUAwB6qwlAYIBtbS32VYEEEAAgYoTaGgYYt/8f2bazbd8zd1HoG7QRz81qHndH0DLVEZlo9jAUaOG25I//2P7kz+51j71qTHBYP9jrtp+/fpZIlFvl1/+m7b0L75uf/RH06xu4AC3LJ+Hfv362Rf/r99223LOOWeavg7Qr18/UwDjq1+bal/92lUF/UxhPm1SBgEEEECgBwEW16wAwYCa3fVsOAIIIIBAOQR0Cf8ti1ps+YqbrGlMY15dOOmkk0x32587d4atCNZbvWaJKWleeVqmMj1VNnv2NW698Ree11NRU32/Of48+8Y3/7s98HeL3HrfWX2rLbt3vrXMutpGjx7hLufXNmhbtE3aNl+xggZ333OjKWne5/fr188UCFj0rVm26u+/Zarzf9z9f9sVV1xIIMAjMUUAAQSKLED1CEiAYIAUSAgggAACCCCAAAIIIIBA9QqwZQh0EyAY0I2EDAQQQAABBBBAAAEEEECg0gXoPwK5BQgG5PZhKQIIIIAAAggggAACCCBQGQL0EoECBAgGFIBFUQQQQAABBBBAAAEEEEAgTgL0BYHeChAM6K0c6yGAAAIIIIAAAggggAACpRegRQQiESAYEAkjlSCAAAIIIIAAAggggAACxRKgXgSiFyAYEL0pNSKAAAIIIIAAAggggAACfRNgbQSKLEAwoMjAVI8AAggggAACCCCAAAII5CNAGQRKKUAwoJTatIUAAggggAACCCCAAAIIfCTAHAJlEyAYUDZ6GkYAAQQQQAABBBBAAIHaE2CLEYiHAMGAeOwHeoEAAggggAACCCCAAALVKsB2IRBDAYIBMdwpdAkBBBBAAAEEEEAAAQQqW4DeIxB3AYIBcd9D9A8BBBBAAAEEEEAAAQQqQYA+IlBRAgQDKmp30VkEEEAAAQQQQAABBBCIjwA9QaByBQgGVO6+o+cIIIAAAggggAACCCBQagHaQ6BKBAgGVMmOZDMQQAABBBBAAAEEEECgOALUikA1ChAMqMa9yjYhgAACCCCAAAIIIIBAXwRYF4GqFyhKMOCxR7fYthdeqXo8NhABBBBAAAEEEEAAAQSqRYDtQKC2BCINBnR2HrM7bl9jGzZstuXLH+oSEEgmO+yb37jfZrUsdSkcLFDwwOevWvVI1j2QrZxv19cRrlvzPl99U9lMDeQql63dTPWQhwACCCCAAAIIIIAAAhUiQDcRqGGBSIMBT216zsaNG2vTpk20665vtq3P7zAFATQA/+4/Pm5z5ky31WuW2IqVN9uWLdts965WFzDYvn2ny9My7QsNvjUNJw3Ws5Vbu/Zx167WX3bvfNu4cbOrW/VrXnlapr6pbLhezecql6tdrUtCAAEEEEAAAQQQQACByhGgpwgg8KFApMEAVdnYOEITqxs4wGbPvsYSiXqrqxtgw4bVu3w9HD16zBQgaEgMcQGDKVMudWW0bMaMybZn7363XM99UmAhU7m9e9+xtgMddtnlF7iiiaC95uaJpsCB0kUXne/6oIWTJl+siQtQuJkTD7nKZWtX/T+xOhMEEEAAAQQQQAABBBCIrwA9QwCBDAKRBgM0IF+37gnbunVHt6amB4P8Bx/8kfuKwO1/tdq+fsM1NjAIGKhg05hRmrjk8xQwcBnBgx94Zyq3b1+bNTYOTw34g+LB/BA34NdVCboaQHlKCkooSNGePKSnqZSt3NtvHXBlMrUb7p8rxAMCCCCAAAIIIIAAAgjERIBuIIBATwKRBgP0qfzd99xojaNHdLlngAbz99/3fdMn+7pcf9G3Ztl99/6zvf7anm79yzZgTy/oXIBynwAAEABJREFUyx0+dCR9kTUkhljn0WP2/vHj3ZYlEvVBoKBrMKBboSBD5drbDwdzXf/7dtMDCl1L8QwBBBBAAAEEEEAAAQRKKkBjCCBQkECkwQDf8qiRw23evGvdVwD0/f+39r7jPr0ff+F5rogG2rqU/+WXd7vn4QcFDjSQbwgG9OH89HlfbvCQQemLTAN1XQFwcv/+3ZbpKoBED3VrJZVraBis2S7Jt9tT/7qslPbkYLvZG6/3I2HAMcAxwDHAMcAxwDHAMcAxwDHQh2OA99SMKWr5GNC4Mm2oWdDTogQDfA/0/f+jx95zn8Qngk/kfb6ffuxjJ7vZ3bs+ukLAX37vvy6gAvo0XtNM5UaMGGatrfuDNjpUxKVk8pCpPSXdD8BlBg/ZBvLZyp1+xqnBWmaZ2g33zxUq4GFog9lZZ39AwoBjgGOAY4BjgGOAY4BjgGOAY6CwYwAvvDgGThwDQ4NxZQHD0G5FIwsGJJMdduviB4KBc2uqkWeeftHa2g6avnOv+wjorv1aqLK6y7++z3/l5EvcLwtooK5l69dvMl1ZoACAyunnADXNVm7kyNPcLwmoLa2vsr5u3cNAwQDlaZl+7UBTDf419SlXuWztqn9+faYIIIAAAggggAACCCBQLAHqRQCBYgicFFWlGmDPX/AVW7nyYduwYbO7Z4AG4jNnTnWf0re0XG3Lln3P3UBw4YL7rLl5YhAkaHRp7NjRNnfOnW6Z+nPV1RM0CQILe9xAX3U3jWm0bOX0KwFqa1bLUgvXrfV0nwLlaZnKqD+qXIGJeXPvcj9tmKtcrnZVDwkBBBBAAAEEEEAAAQQiFqA6BBAoukBkwQD1VINq3UBw2rSJ7p4BtyxqSf1koAbVy1fcZLqBoJK/f4DW0+BfeUr6OULlKe3c9WbqJwP1PFs5fUqvtrS+UrhuzStPSWVUVnX5/mi5nmuqMkrhclqWrV0tIyGAAAIIIIAAAggggEDfBagBAQRKKxBpMCDqrk+fPsldVRB1vdSHAAIIIIAAAggggAACZRegAwggUEaBogQD9Em6Pmkv43bRNAIIIIAAAggggAACCMROgA4hgEBcBIoSDIjLxtEPBBBAAAEEEEAAAQQQKLMAzSOAQCwFCAbEcrfQKQQQQAABBBBAAAEEKleAniOAQPwFCAbEfx/RQwQQQAABBBBAAAEE4i5A/xBAoMIECAZU2A6juwgggAACCCCAAAIIxEOAXiCAQCULEAyo5L1H3xFAAAEEEEAAAQQQKKUAbSGAQNUIEAyoml3JhiCAAAIIIIAAAgggEL0ANSKAQHUKEAyozv3KViGAAAIIIIAAAggg0FsB1kMAgRoQIBhQAzuZTUQAAQQQQAABBBBAILcASxFAoNYECAbU2h5nexFAoOIFOm75ssU5VTwwG4AAAgjUigDbiQACNS1AMKCmdz8bjwACCCCAAAIIIFBLAmwrAggg4AUIBngJpggggAACCCCAAAIIVJ8AW4QAAghkFCAYkJGFTAQQQAABBBBAAAEEKlWAfiOAAAI9CxAM6NmIEggggAACCCCAAAIIxFuA3iGAAAIFChAMKBCM4ggggAACCCCAAAIIxEGAPiCAAAJ9ESAY0Bc91kUAAQQQQAABBBBAoHQCtIQAAghEJkAwIDJKKkIAAQQQQAABBBBAIGoB6kMAAQSKI0AwoDiu1IoAAggggAACCCCAQO8EWAsBBBAogUBRggGPPbrFtr3wSgm6TxMIIIAAAggggAACCFS+AFuAAAIIlFog0mBAZ+cxu+P2NbZhw2ZbvvyhVEDA589qWWrhpKCBNlhTn79q1SPKypiylUuvPxyI0LyvW31T2UyV5yqXrd1M9ZCHAAIIIIAAAggggEAeAhRBAAEEyioQaTDgqU3P2bhxY23atIl23fXNtvX5HZZMdlhd3QC7ZVGLrV6zxKXFi6+3z3zmXJs0+WIXMNi+faetWHmzWyYNDb41DScN1rOVW7v2cdeu6l9273zbuHGz7d7V6pLmladl6pvKhuvVvMpmK5erXa1LQgABBBBAAAEEEEAgPwFKIYAAAvERiDQYoM1qbByhidUNHGCzZ19jiUS9ex5++NGmZ23ChPGmIIECBlOmXOrmVWbGjMm2Z+9+S/8EP1u5vXvfsbYDHXbZ5Rdodddec/NEU+BA6aKLznd5Wqjgg6YKUGjqU65y2dpN75+viykCCCCAAAIIIIAAAikBZhBAAIGYCkQaDNCAfN26J2zr1h1ZN1efwnceOWaf/FRTasDfNGZUqvzAIIigJ0ePHtPEJT/wzlRu3742a2wcnhrwa4VEYoi7IkGDfl0NoDwlBR8UpGhPHtLTVMpW7u23DrgymdoN988V4gEBBBBAAAEEEEAAATMDAQEEEKgEgUiDAboK4O57brTG0SO63DMgDBG+KiCc7+ezDdj9cj/15Q4fOuKzUtOGIBjQGQQT3j9+PJXnZxKJ+iBQ0DUY4JeFpyrX3n44nOXmfbvpAQW3kAcEEEAAAQQQQACBWhRgmxFAAIGKE4g0GOC3ftTI4TZv3rXungHh7/+HrwrwZdOnugpAA/mGYECfviz83JcbPGRQONvNa6CuKwBO7t/fPQ8/6CoAXTkQzss0r3INDYO7LfLt9tS/biuGMg62m73xej8SBhwDHAO9OgZCLyexnK3V17czvn/c4pxqdb+w3bzfKN4xgC22HAMcA+U9Bg4G48q+vBksSjDAd0jf/z967D3/1NKvCtCn7Fq4e9ceTVzyl9/7rwsoM1e5ESOGWWvr/uDT/g4VdSmZPOS+NpBI1Lt7B7jM4CHbQD5budPPODVYy6yn/rlCBTwMbTA76+wPSBhwDHAM9OoYKODlpixFa/X1rSzYBTRaq/uF7eb9RqTHAH+3evV3i33AecgxUJxjYGgwrizgrUC3opEFA5LJDrt18QPBwLk11cgzT79obW0H3fNsVwVcOfkS27JlW+r+AevXbzJdWaAAgOrUzwFqmq3cyJGnuV8SUFtqSGX1ywC6V4DuYaCbAypPy/RrB5pq8K+pT7nKZWtX/fPrM0UAAQQQQAABBBCoTgG2CgEEEKhWgZOi2jANsOcv+IqtXPmwbdiw2d0zQAPxmTOnuibSrwpwmcFD05hGGzt2tM2dc6fNalka5JhddfUEN9Un8hrUq+5c5fQrAWpL6y9ccJ81N080ldd6+qUC5WmZyvj+KDgxb+5d7qcNc5VTPdn65zrJAwIIIIAAAggggEA1CbAtCCCAQE0IRBYMkJYG1bqB4LRpE909A25Z1JL6yUD9zOD4C89TsW5Jg//Va5aYksr5Ajt3vZn6yUDlZSunT+nVltZXCrejeeUpqYzKqi4N8pevuMm0XM81VRmlcDkty9aulpEQQAABBBBAAAEEKl2A/iOAAAK1JxBpMCBqvunTJ7nv/kddL/UhgAACCCCAAAII1LgAm48AAgjUuEBRggH6JF2ftNe4LZuPAAIIIIAAAgggECMBuoIAAggg8JFAUYIBH1XPHAIIIIAAAggggAACZROgYQQQQACBLAIEA7LAkI0AAggggAACCCBQiQL0GQEEEEAgHwGCAfkoUQYBBBBAAAEEEEAgvgL0DAEEEECgYAGCAQWTsQICCCCAAAIIIIBAuQVoHwEEEECgbwIEA/rmx9oIIIAAAggggAACpRGgFQQQQACBCAUIBkSISVUIIIAAAggggAACUQpQFwIIIIBAsQQIBhRLlnoRQAABBBBAAAEEChdgDQQQQACBkggQDCgJM40ggAACCCCAAAIIZBMgHwEEEECg9AIEA0pvTosIIIAAAggggECtC7D9CCCAAAJlFiAYUOYdQPMIIIAAAggggEBtCLCVCCCAAAJxEiAYEKe9QV8QQAABBBBAAIFqEmBbEEAAAQRiK0AwILa7ho4hgAACCCCAAAKVJ0CPEUAAAQQqQ4BgQGXsJ3qJAAIIIIAAAgjEVYB+IYAAAghUoADBgArcaXQZAQQQQAABBBAorwCtI4AAAghUugDBgErfg/QfAQQQQAABBBAohQBtIIAAAghUlQDBgKranWwMAggggAACCCAQnQA1IYAAAghUr0BRggGPPbrFtr3wSvWqsWUIIIAAAggggEBIoOOWL1ucU6irPc2yHAEEEECgRgQiDQZ0dh6zO25fYxs2bLblyx/KGhBIDxbo+ayWpaa0atUjWemzlfPtan2lcCBC88pTUt9UNlMDucplazdTPeQhgAACCCCAAAKVJUBvEUAAAQRqUSDSYMBTm56zcePG2rRpE+2665tt6/M7LJns6OK6e1er7dz5pn3yU00uX4Pw7dt32oqVN9vqNUtcngbfbib0kKvc2rWPu3a1/rJ759vGjZtN7ShpXnlapr6pbKhaN5urXK523co8IIAAAggggAAClSZAfxFAAAEEal4g0mCANBsbR2hidQMH2OzZ11giUe+e60Gfyv/wh/9uX/rSFVZXN0BZLmAwZcqlqeczZky2PXv3m8q6AiceFFjIVG7v3nes7UCHXXb5Ba6k2mtunmgKMChddNH5qT5MmnyxK5MeoMhVLlu76f1zFfOAAAIIIIAAAgjEVIBuIYAAAgggEBaINBigAfm6dU/Y1q07wm2k5nXlwNixo61pTKPL8wPqpjGj3HM9DAyCCJoePXpME5dyldu3r80aG4enBvxaIZEY4q5I0KBfVwMoT0kBCAUp2pOH9DSVspV7+60DrkxP/XOFeEAAAQQQQAABBOIlQG8QQAABBBDIKhBpMECfyt99z43WOHpEt3sG6FL8J5/8ibufgL6/r8vvM/Uq24A9vawvd/jQkfRF1hAEAzqDYML7x493W5ZI1AeBgq7BgG6FggyVa28/HMx1/e/bTQ8odC3FMwQQQAABBBBAoBwCtIkAAggggEB+ApEGA3yTo0YOt3nzrnVfAfDf/3/66Z/awoV/6O4LoPsDKDDw0os/96ukproKQAP5hmBAn8rMMOPLDR4yqNtSDdR1BcDJ/ft3W6arAHTlQLcFaRkq19AwOC3X3NcX8ulftxVDGQfbzd54vR8JA44BjoFeHQOhl5NYztbq61ssd0aoU7W6X0q13SHq0s/m0WKpHGiH93ccAxwDHAOlOwY0rszjT0DWIkUJBvjW9P3/o8fe6zaA1qfr+v7//v1JV3T3rj1uqgf/9QD/dQHlqbymmcqNGDHMWlv3B5/2f3SjwmTykPvaQCJR7+4doHWVfAChIS3QkMhS7vQzTtVqlqndcP9coQIehjaYnXX2ByQMOAY4Bnp1DBTwclOWorX6+lYW7AIardX9UqrtLmBXRFK00EpK5UA7vL/jGOAY4Bgo3TEwNBhXFvr3IFw+smBAMtlhty5+IBg4t6bqf+bpF62t7WDq5oB6roUalG/Zss39AsCVky8xzStPy9av32S6skABANWpnwPUNFu5kSNPc/X4ulV248bNLk/3MNDNAZWnunXPAk01+NfUp1zlsrWr/vn1mSKAAAIIIIAAAkUWoHoEEEAAAeuTpHQAABAASURBVAQiFTgpqto0wJ6/4Cu2cuXD7r4Ay5c/5D6VnzlzqmtCUw3Mdb+AuXPutAkTxrsbCTaNaTTdVFB5WqbCV109QZMgsLDHDepVd65y+pUAX/fCBfdZc/NEV7fW0xUIylPdKqN+qHLdw2De3LtM9y7IVS5Xu6qHhAACCCCAAAIIFEeAWhFAAAEEECieQGTBAHVRg2rdQHDatInungG3LGpJXRWgT9L1fPWaJe6+AeMvPE+ruKTBv8/XzxG6zOBh5643Uz8ZGDy1bOVy1a12fN1qX2VVlwb5y1fcZFqu55pmKqdl2drVMhICCCCAAAIIIBCZABUhgAACCCBQIoFIgwFR93n69Enuu/9R10t9CCCAAAIIIIBAXAToBwIIIIAAAuUQKEowQJ+k65P2cmwQbSKAAAIIIIAAAjEXoHsIIIAAAgiUXaAowYCybxUdQAABBBBAAAEEYiVAZxBAAAEEEIiXAMGAeO0PeoMAAggggAAC1SLAdiCAAAIIIBBjAYIBMd45dA0BBBBAAAEEKkuA3iKAAAIIIFApAgQDKmVP0U8EEEAAAQQQiKMAfUIAAQQQQKAiBQgGVORuo9MIIIAAAgggUD4BWkYAAQQQQKDyBQgGVP4+ZAsQQAABBBBAoNgC1I8AAggggECVCRAMqLIdyuYggAACCCCAQDQC1IIAAggggEA1CxAMqOa9y7YhgAACCCCAQCEClEUAAQQQQKBmBAgG1MyuZkMRQAABBBBAoLsAOQgggAACCNSmAMGA2tzvbDUCCCCAAAK1K8CWI4AAAggggIARDOAgQAABBBBAAIGqF2ADa1PgjO8ftzin2twrbDUCCMRFgGBAXPYE/UAAAQQQQACBKAWoCwEEEEAAAQRyCBAMyIHDIgQQQAABBBCoJAH6igACCCCAAAL5ChAMyFeKcggggAACCCAQPwF6hAACCCCAAAK9EiAY0Cs2VkIAAQQQQACBcgnQLgIIIIAAAgj0XYBgQN8NqQEBBBBAAAEEiitA7QgggAACCCAQsQDBgIhBqQ4BBBBAAAEEohCgDgQQQAABBBAopkBRggGPPbrFtr3wSjH7Td0IIIAAAgggUG0CbA8CCCCAAAIIlEwg0mBAZ+cxu+P2NbZhw2ZbvvyhbgEBBQlmtSw1pXlz77Ldu1rdhobzV616xOVleshWzrerepXCgQjNK09JfVPZTHXnKpet3Uz1kIcAAggggAAC+QtQEgEEEEAAAQTKIxBpMOCpTc/ZuHFjbdq0iXbd9c229fkdlkx2pLZsz979Nm/etbZ6zRJbvuImaxrT6AIG27fvtBUrb3b5KqzBt6bhpMF6tnJr1z7u2lW9y+6dbxs3bnaBBgUbNK88LVPfVDZcr+ZzlcvVrtYlIYAAAggggEBBAhRGAAEEEEAAgRgIRBoM0PY0No7QxOoGDrDZs6+xRKLePVdQoO1ARxAAGOWe+wcFDKZMudTq6ga4rBkzJpuCBumf4Gcrt3fvO6Z6L7v8Are+2mtunmgKHChddNH5qT5MmnyxK6O+uJkTD7nKZWs3vX8nqmKCAAIIIIAAAt0EyEAAAQQQQACBuAlEGgzQgHzduids69Yd3bazPXnIWlv32cIF97mvCegTdz+gbhrzUYBgYBBE0MpHjx7TxKVc5fbta7PGxuGpAb9WSCSGuCsSNOjX1QDKU1LAQUEK9UXPfcpW7u23DrgiPfXPFeIBAQQQQAABBD4SYA4BBBBAAAEEYi0QaTBAn8rffc+N1jh6hKXfM6BpTKPpqwG6XF+X7evy/ddf29MNJ9uAPb2gL3f40JH0RdYQBAM6g2DC+8ePd1uWSNQHgYJD3fLTM1Suvf1wera7giFTQKFbQTIQQAABBBCoMQE2FwEEEEAAAQQqRyDSYIDf7FEjh7t7A+gS+0zf/9dAW5fyv/zybr9KaqqrADSQbwgG9KnMDDO+3OAhg7ot1Sf/GrCf3L9/t2W6CkBXDnRbkJahcg0Ng9NyzXy7PfWv24qhjIPtZm+83o+EAccAx0CvjoHQy0ksZ2v19S2WOyPUqSLtl14dw9XYlxB1LGer0TyfbYrlzgh1Kp9toAzvmTkGOAayHQMaV4ZeUgqeLUowwPdC3/8/euw9dzO/++/7vhtI+2X6ysAnPvHh1wN27/roCgH/9QD/dQGV11UAmmYqN2LEMGtt3R982v/RjQqTyUPuawOJRL27d4DWVco2kM9W7vQzTtVqQf9z988VKuBhaIPZWWd/QMKAY4BjoFfHQAEvN2UpWquvb2XBLqDR6PYLf78yWRawK8pSNFOfayGvLNgFNFoL+4Bt5DWTY6B4x8DQYFxZwEtOt6KRBQOSyQ67dfEDwcD5w58LVEvPPP2itbUdNH1FoG7QAPvZiSsBdPd+3Vegacwou3LyJbZly7ZUoGD9+k2mKwsUAFCd+jlATbOVGznyNPdLAmpLbaqsvoKgewXoHga6OaDytEy/dqCpBv+a+pSrXLZ21T+/PlMEEEAAAQSqWoCNQwABBBBAAIGqEzgpqi3SAHv+gq/YypUP24YNm033DNBAfObMqa4JXSWgmwvOallqy5Z9z1parnaf3jeNabSxY0fb3Dl3uhsLqvBVV0/QJAgs7HEDfdWdq5x+JUBtqW7doLC5eaILQGg9/VKB8rRMZXx/FJCYN/cu99OGucrlatd1kgcEEEAAAQSqUIBNQgABBBBAAIHqFogsGCAmDap1A8Fp0ya6ewbcsqjF3XAvvEw3ENSNBDXIVr6SBv/KV9LPESpPaeeuN02f2mteKVs5fUqvtrS+0vgLz1NxlzSvPCWVUVktUPvqh5bruaYqoxQup2XZ2tUyEgIIIIAAAlUiwGYggAACCCCAQA0JRBoMiNpt+vRJ7uqBqOulPgQQQAABBBCQAAkBBBBAAAEEalWgKMEAfZKuT9prFZXtRgABBBBAILYCdAwBBBBAAAEEEAgEihIMCOrlPwIIIIAAAgjERIBuIIAAAggggAAC6QIEA9JFeI4AAggggEDlC7AFCCCAAAIIIIBATgGCATl5WIgAAggggEClCNBPBBBAAAEEEEAgfwGCAflbURIBBBBAAIF4CdAbBBBAAAEEEECglwIEA3oJx2oIIIAAAgiUQ4A2EUAAAQQQQACBKAQIBkShSB0IIIAAAggUT4CaEUAAAQQQQACByAUIBkROSoUIIIAAAgj0VYD1EUAAAQQQQACB4goQDCiuL7UjgAACCCCQnwClEEAAAQQQQACBEgoQDCghNk0hgAACCCAQFmAeAQQQQAABBBAolwDBgHLJ0y4CCCCAQC0KsM0IIIAAAggggEAsBAgGxGI30AkEEEAAgeoVYMsQQAABBBBAAIH4CRAMiN8+oUcIIIAAApUuQP8RQAABBBBAAIGYCxAMiPkOonsIIIAAApUhQC8RQAABBBBAAIFKEiAYUEl7i74igAACCMRJgL4ggAACCCCAAAIVK0AwoGJ3HR1HAAEEECi9AC0igAACCCCAAALVIUAwoDr2I1uBAAIIIFAsAepFAAEEEEAAAQSqUIBgQBXuVDYJAQQQQKBvAqyNAAIIIIAAAghUu0BRggGPPbrFtr3wSrXbsX0IIIAAAtUjwJYggAACCCCAAAI1JRBpMKCz85jdcfsa27Bhsy1f/lDWgEAy2WE//vFLKWgFD2a1LDWlVaseSeWnz2Qr59vV+krhQITmlaekvqlser16nqtctna1HgkBBBBAoFIF6DcCCCCAAAIIIFC7ApEGA57a9JyNGzfWpk2baNdd32xbn99hGvin865fv8naDhx02RqEb9++01asvNlWr1ni8jT4djOhh1zl1q593LWr9ZfdO982btxsu3e1uqR55WmZ+qayoWrdrMpmK5erXbcyDwgggAAClSNATxFAAAEEEEAAAQScQKTBANXY2DhCE6sbOMBmz77GEol699w/aHD93LPb/VMXMJgy5VKrqxvg8mbMmGx79u639E/wFVjIVG7v3neCwEKHXXb5BW59tdfcPNEUYFC66KLzU32YNPliVyY9QJGrXLZ20/vnKuYBAQQQQCB2AnQIAQQQQAABBBBAoLtApMEADcjXrXvCtm7d0b2lIEeD8Cef/Il9+StfDJ5ZasDfNGaUe66HgUEQQdOjR49p4pIfeGcqt29fmzU2Dk8N+LVCIjHEXZGg9nQ1gPKUFHBQkKI9eUhPUylbubffOuDKZGo33D9XiAcEEEAAgbgI0A8EEEAAAQQQQACBHgQiDQboU/m777nRGkePyHjPAH09QJ/uD0u7WiDcx2wD9nAZzftyhw8d0dMuqSEIBnQGwYT3jx/vkq8niaDtZFowQPnpSeXa2w+nZ7srGDIFFLoVJAMBBBBAoIQCNIUAAggggAACCCBQiECkwQDf8KiRw23evGvdVwD89//19QAtH3/heZpkTboKQAP5hmBAn7VQsMCXGzxkUPCs63998q8B+8n9+3ddEDxLJjtMVw4Eszn/q1xDw+BuZXy7PfWv24qhjIPtZm+83o+EAccAx0CvjoHQy0ksZ0v2+haz4yeWOyPUqVrdL6Xa7hB1LGdL5RC3dmK5M0KdipsX/eH9OcdAZR0DGleGXlIKni1KMMD3Qt//P3rsPXfJvr4+oHsF6K7++qUB/eKAv5nf7l17/CrmL7/3XxfQAl0FoGmmciNGDLPW1v2uDZVRSgaf/CcS9cGgv97dO0B5StkG8iqr+waojJIvd/oZp+qpZWo33D9XqICHoQ1mZ539AQkDjgGOgV4dAwW83JSlaDFf3+Jcd1mwC2g0znbV0LcCdkVZilaDcW+2oSzYBTTam21iHd5DcwxwDPhjYGgwrizgJadb0ciCAcngE/dbFz8QDJxbU4088/SL1tZ20D3/i9tucL8WoLv666oB/eKAbjB45eRLbMuWban7B+irBLqyQAEA1amfA9Q0W7mRI09zvySgttSQyuqXAXSvAN3DQIN85WmZfu1AUw3+NfUpV7ls7ap/fn2mCCCAAAJFE6BiBBBAAAEEEEAAgSIInBRVnRpgz1/wFVu58mHTp/769F8D8Zkzp7pP6LMNnpvGNNrYsaNt7pw7TVcNqD9XXT1BkyCwsMcN9FV3rnL6lQC1pfUXLrjPmpsnmsprPd2jQHlapjLqjyrXzwnOm3uX6esLucqpnmz9Uz0kBBBAAIGoBagPAQQQQAABBBBAoNgCkQUD1FENqnUDQX3qr0//b1nU4m64p2XhpPsG+AG/8jWvKwaUdLWA8pR27noz9ZOBep6tnAINakvrK6l+lVfSvPKUVEZlla9B/vIVN5mW67mmKqMULqdl2drVMhICCCCAQAQCVIEAAggggAACCCBQUoFIgwFR93z69EnuqoKo66U+BBBAAIHyC9ADBBBAAAEEEEAAgfIJFCUYoE/S9Ul7+TaLlhFAAAEEYihAlxBAAAEEEEAAAQRiIlCUYEBMto1uIIAAAgiUXYAOIIAAAggggAACCMRRgGBAHPcKfUIAAQQqWYDB0t/3AAAQAElEQVS+I4AAAggggAACCMRegGBA7HcRHUQAAQTiL0APEUAAAQQQQAABBCpLgGBAZe0veosAAgjERYB+IIAAAggggAACCFSwAMGACt55dB0BBBAorQCtIYAAAggggAACCFSLAMGAatmTbAcCCCBQDAHqRAABBBBAAAEEEKhKAYIBVblb2SgEEECg9wKsiQACCCCAAAIIIFD9AgQDqn8fs4UIIIBATwIsRwABBBBAAAEEEKgxAYIBNbbD2VwEEEDgQwEeEUAAAQQQQAABBGpZgGBALe99th0BBGpLgK1FAAEEEEAAAQQQQOCEAMGAExBMEEAAgWoUYJsQQAABBBBAAAEEEMgkQDAgkwp5CCCAQOUK0HMEEEAAAQQQQAABBHoUIBjQIxEFEEAAgbgL0D8EEEAAAQQQQAABBAoTIBhQmBelEUAAgXgI0AsEEEAAAQQQQAABBPogQDCgD3isigACCJRSgLYQQAABBBBAAAEEEIhKgGBAVJLUgwACCEQvQI0IIIAAAggggAACCBRFgGBAUVipFAEEEOitAOshgAACCCCAAAIIIFB8gaIEAx57dItte+GV4veeFhBAAIFqEGAbEEAAAQQQQAABBBAosUCkwYDOzmN2x+1rbMOGzbZ8+UNdAgLJZId98xv326yWpTZv7l22e1dralMVPFC+0qpVj6Ty02eylfPtan2lcCBC88pTUt9UNr1ePc9VLlu7Wo+EAAII9EaAdRBAAAEEEEAAAQQQKKdApMGApzY9Z+PGjbVp0ybaddc329bnd5iCABqAf/cfH7c5c6bb6jVLbOHCP7Q1ax51yzQI3759p61YebNbJgwNvjUNp1zl1q593LWrupfdO982btzsgg0KOGheeVqmvqlsuF7N5yqXq12tS0IAAQTyFKAYAggggAACCCCAAAKxEYg0GKCtamwcoYnVDRxgs2dfY4lEvdXVDbAb53/ZmsY0umWannPOmdaePOQCBlOmXOrKaOGMGZNtz979pgCCnvukwEKmcnv3vmNtBzrssssvcEXVXnPzRFOAQemii853fdDCSZMv1sQFIdzMiYdc5bK1m96/E1UxQQABBEICzCKAAAIIIIAAAgggEE+BSIMBGpCvW/eEbd26I+fW6pP4V1/9pQ0MggQq2DRmlCYuDQyCCJo5evSYJi75gXemcvv2tVlj4/DUgF8rJBJD3IBfVyXoagDlKSkooSCFghB67lO2cm+/dcAVydRuuH+uEA8IIICABEgIIIAAAggggAACCFSAQKTBAH0qf/c9N1rj6BHd7hkgCw3q9b392277tunT+4aGIcrukrIN2LsUCp74cocPHQmedf3fEAQDOoNgwvvHj3ddEDxLJOqDQMGhYC73f5Vrbz/crZBvNz2g0K0gGQggUDMCbCgCCCCAAAIIIIAAApUmEGkwwG/8qJHDbd68a91XAMLf/9dA+pZFLe7+AE8++RN76cWf+1VSUwUMNJBvCAb0qcwMM77c4CGDui3VQF1XAJzcv3+3ZboKQFcOdFuQlqFyDQ2D03LNfX0hn/51WzGUcbDd7I3X+5Ew4Bio3GOgrPsu9HISy9lafX2L5c4IdapW90uptjtEHcvZUjnErZ1Y7oxQp+LmRX94f84xUFnHgMaVoZeUgmeLEgzwvdD3/48ee8/dzG/tdx/32e7+AL//+1fa4Xc7Xd7uXXvcVA/+8nv/dQHlKYigaaZyI0YMs9bW/cGn/R0q4lIyech9bSCRqHf3DnCZwYMPIDSkBRoSWcqdfsapwVoW9D93/1yhAh6GNpiddfYHJAw4BirqGIjPOVvAy01Zitbq61tZsAtotFb3S6m2u4BdUZaipXKIWztlwS6g0bh50Z/4/K1nX7Av8jkGhgbjygJecroVjSwYkEx22K2LHwgGzh/9ZOAzT79obW0H7YyRp7kBu+7Mrx5oUP7ggz+yYcEg/MrJl9iWLdvcJ+5atn79JtOVBQoAqE59rUDTbOVGBnXrvgBqS+urrH5BQHm6h4FuDqg8LdOvHWiqwb+mPuUql61d9c+vzxQBBKpUgM1CAAEEEEAAAQQQQKBKBSILBmiAPX/BV2zlyodtw4bN7p4BGojPnDnVXQnw9RuuMd1ccFbLUps75073U4DjLzzP/cLA2LGjXZ6WWfDvqqsnBI8ffiKvQb3qbhrTaNnK6VcC1JbWX7jgPnc/ApXXevoFAuVpmcqoP6pcNzGcN/cuU4AiVznVk61d1UNCAIHqEmBrEEAAAQQQQAABBBCoBYHIggHC0qBaNxCcNm2iu2eA7g/gP0H3y1avWWJKfsCv9TSvPCX9HKHylHbuejP1k4F6nq2c2lBbWl9JQQaVV9K88pRURmWVr0H+8hU3mZbruaYqoxQup2XZ2tUyEgIIVLwAG4AAAggggAACCCCAQM0JRBoMiFpv+vRJ7rv/UddLfQggUOsCbD8CCCCAAAIIIIAAArUtUJRggD5J1yfttU3L1iOAQKwE6AwCCCCAAAIIIIAAAgikBIoSDEjVzgwCCCBQRgGaRgABBBBAAAEEEEAAgcwCBAMyu5CLAAKVKUCvEUAAAQQQQAABBBBAIA8BggF5IFEEAQTiLEDfEEAAAQQQQAABBBBAoFABggGFilEeAQTKL0APEEAAAQQQQAABBBBAoE8CBAP6xMfKCCBQKgHaQQABBBBAAAEEEEAAgegECAZEZ0lNCCAQrQC1IYAAAggggAACCCCAQJEECAYUCZZqEUCgNwKsgwACCCCAAAIIIIAAAqUQIBhQCmXaQACB7AIsQQABBBBAAAEEEEAAgZILEAwoOTkNIoAAAggggAACCCCAAAIIIFBeAYIB5fWndQRqRYDtRAABBBBAAAEEEEAAgRgJEAyI0c6gKwhUlwBbgwACCCCAAAIIIIAAAnEVIBgQ1z1DvxCoRAH6jAACCCCAAAIIIIAAAhUhQDCgInYTnUQgvgL0DAEEEEAAAQQQQAABBCpPgGBA5e0zeoxAuQVoHwEEEEAAAQQQQAABBCpcgGBAhe9Auo9AaQRoBQEEEEAAAQQQQAABBKpJgGBANe1NtgWBKAWoCwEEEEAAAQQQQAABBKpWgGBA1e5aNgyBwgVYAwEEEEAAAQQQQAABBGpDoCjBgMce3WLbXnilNgTZSgQqW4DeI4AAAggggAACCCCAQA0KRBoM6Ow8ZnfcvsY2bNhsy5c/1CUg4JfNallqSgoYeG/NK09p1apHfHa3abZy6XWHAxGaV71K6pvKdqs4yMhVLlu7wWr8R6ACBegyAggggAACCCCAAAII1LpApMGApzY9Z+PGjbVp0ybaddc329bnd1gy2eGM16593C1bvWaJrVh5s+3c+abt3tXqAgbbt+90eVqmwhp8axpOGqxnKxeue9m9823jxs2ubtWveeWpbvVNZcP1aj5XuVztal0SAhUhQCcRQAABBBBAAAEEEEAAgZBApMEA1dvYOEITqxs4wGbPvsYSifpUQGDS5Is/XFY3wCZMGG8a3CtgMGXKpVYX5GnhjBmTbc/e/Zb+CX62cnv3vmNtBzrssssv0Oquvebmia5u1X/RRee7PC307fsAhfKUcpXL1m56/1QPCYE4CdAXBBBAAAEEEEAAAQQQQCCbQKTBAA3I1617wrZu3dGlPQUEFBjwA34tbG3dZ8OHJzRrTWNGuakeBgZBBE2PHj2miUt+4J2p3L59bdbYODw14NcKicQQF4DQoF9XAyhPSe0rSNGePKSnqZSt3NtvHXBlMrUb7p8rxAMC5RegBwgggAACCCCAAAIIIIBAXgKRBgM06L/7nhutcfSIbvcMCPdGl+VrAP7ZC34jnO3msw3Y3cLQgy93+NCRUO6Hsw1BMKAzCCa8f/z4hxmhx4S7UqFrMCC0ODWrcu3th1PP/YxvNz2g4JczRaC0ArSGAAIIIIAAAggggAACCBQuEGkwwDc/auRwmzfvWnfPgPTv/ysQ8MMf/rtNnzHZF+8y1VUAGsg3BAP6LgvSnvhyg4cMSltipoG6rgA4uX//bssUhNCVA90WpGWoXEPD4LRcc19fyKd/3VYMZRxsN3vj9X4kDHp3DOBW826hl5NYztbq61ssd0aoU7W6X0q13SHqWM6WyiFu7cRyZ4Q6FTcv+sP7c46ByjoGNK4MvaQUPFuUYIDvhb7/f/TYe/6pu3T/wQd/ZF/92lR3jwB9yq6Fu3ft0cQlf/m9/7qAMnOVGzFimLW27nd1q6xSMnnIfW0gkah39w5QnpIPIDSkBRoSWcqdfsapWs166p8rVMDD0Aazs87+gIRB3scAxwvnS/gYKODlpixFw32tpfmyYBfQaC3ti3JsawG7oixFy2EShzbLgl1Ao3Ewog+8x+AYqNxjYGgwrizgJadb0ciCAclkh926+IFg4NyaauSZp1+0traD7rmW/90Dj9jXb/jwpoIuM3i4cvIltmXLNveJe/DU1q/fZLqyQAEAraOfA9Q0W7mRI09zv1KgtrS+yuoXBHSvAN3DQDcHVJ6W6dcONNXgX1OfcpXL1q7659dnikARBKgSAQQQQAABBBBAAAEEECiawElR1awB9vwFX7GVKx+2DRs2u3sGaCA+c+ZUFyBY/GcP2C9+8YYtXHCfzWpZ6tKqVY9Y05hGGzt2tM2dc6fLU3+uunqCJsF6e9xAX3XnKqdfCVBbqlf1NzdPdPVqPf1SgfK0TGXUH1WuryvMm3uX+2nDXOVytat6SAhEJ0BNCCCAAAIIIIAAAggggEBpBCILBqi7GlTrBoLTpk003TPglkUt7usAGlAvX3GTrV6zpEvSLwxoPQ3+/TKfp/ydu95M/WSgnmcrp0/p1ZavY/yF56m4S5r3+Sqjslrg+6Tleq5ppnJalq1dLSMh0CcBVkYAAQQQQAABBBBAAAEEyiAQaTAg6v5Pnz7Jffc/6nqpD4FyCtA2AggggAACCCCAAAIIIFBugaIEA/RJuj5pL/fG0T4CMRGgGwgggAACCCCAAAIIIIBArASKEgyI1RbSGQTKIkCjCCCAAAIIIIAAAggggEB8BQgGxHff0LNKE6C/CCCAAAIIIIAAAggggECFCBAMqJAdRTfjKUCvEEAAAQQQQAABBBBAAIFKFCAYUIl7jT6XU4C2EUAAAQQQQAABBBBAAIGKFyAYUPG7kA0ovgAtIIAAAggggAACCCCAAALVJUAwoLr2J1sTlQD1IIAAAggggAACCCCAAAJVLEAwoIp3LptWmAClEUAAAQQQQAABBBBAAIFaESAYUCt7mu3MJEAeAggggAACCCCAAAIIIFCTAgQDanK31/JGs+0IIIAAAggggAACCCCAAAIEAzgGql+ALUQAAQQQQAABBBBAAAEEEOgiQDCgCwdPqkWA7UAAAQQQQAABBBBAAAEEEMguQDAguw1LKkuA3iKAAAIIIIAAAggggAACCOQpQDAgTyiKxVGAPiGAAAIIIIAAAggggAACCPRGgGBAb9RYp3wCtIwAAggggAACCCCAAAIILacpEAAAEABJREFUINBnAYIBfSakgmILUD8CCCCAAAIIIIAAAggggEC0AgQDovWktmgEqAUBBBBAAAEEEEAAAQQQQKCIAgQDiohL1YUIUBYBBBBAAAEEEEAAAQQQQKBUAkUJBjz26Bbb9sIrpdoG2qlUAfqNAAIIIIAAAggggAACCCBQFoFIgwGdncfsjtvX2IYNm2358oe6BQRWrXrE5s29y3bvau2ysQoezGpZakoq02Vh6Em2cr5dra8UDkRoXnlK6pvKhqpMzeYql63d1MrM5C1AQQQQQAABBBBAAAEEEEAAgfILRBoMeGrTczZu3FibNm2iXXd9s219foclkx1uKzUInzFjsn3uc+e75/5Bg/Dt23faipU32+o1S1y2Bt9uJvSQq9zatY+7drX+snvn28aNm13AQUEHzStPy9Q3lQ1V62ZzlcvVrluZh54EWI4AAggggAACCCCAAAIIIBAzgUiDAdq2xsYRmljdwAE2e/Y1lkjUf/i8bkBq3mWceFDAYMqUS60uWK4sBQz27N1vCh7ouU/Zyu3d+461Heiwyy6/wBVVe83NE00BBqWLLjo/1e6kyRe7Mj5A4Z4ED7nKZWs3vX9BNfxPCTCDAAIIIIAAAggggAACCCAQZ4FIgwEakK9b94Rt3bojr232A+qmMaNS5QcGQQQ9OXr0mCYu5Sq3b1+bNTYOTw34tUIiMcRdkaBBv64GUJ6SAg4KUrQnD+lpKmUr9/ZbB1yZnvrnCtX6A9uPAAIIIIAAAggggAACCCBQMQKRBgP0qfzd99xojaNHZLxnQD4q2Qbs6ev6cocPHUlfZA1BMKAzCCa8f/x4t2WJRH0QKOgaDOhWKMhQufb2w8Fc1/++3fSAQtdStfGMrUQAAQQQQAABBBBAAAEEEKhMgUiDAZ5g1MjhNm/ete6eAZm+/+/LZZrqKgAN5BuCAX2m5T7Plxs8ZJDPSk01UNcVACf375/K8zO6CkBXDvjn2aYq19AwuNti325P/eu2YijjYLvZG6/3q8REn9lvHAMxOAZCLyexnK3V17dY7oxQp2p1v5Rqu0PUsZwtlUPc2onlzgh1Km5e9If35xwDlXUMaFwZekkpeLYowQDfC33//+ix9/zTblN9yq7M3bv2aOKS/3qA/7qAMnOVGzFimLW27g8+7f/wRoUqn0wecl8bSCTq3b0DlKeUbSCfrdzpZ5yq1ayn/rlCBTwMbTA76+wPKiTRT/YVx0DcjoECXm7KUjRuXqXqT1mwC2i0VA612k4Bu6IsRdkvZWHvsdFa3S9sN++tOAaiOQaGBuPKHl9ochSILBiQTHbYrYsfCAbOH/1s4DNPv2htbQdzNG925eRLbMuWbakbBq5fv8l0ZYECAKpTPweoabZyI0ee5n5JQG2pIZXVLwjoXgG6h4FuDqg8LdOvHWiqwb+mPuUql61d9c+vX3VTNggBBBBAAAEEEEAAAQQQQKCqBU6Kaus0wJ6/4Cu2cuXDtmHDZnfPAA3EZ86cmrOJpjGNNnbsaJs7506b1bLUlb3q6gluqk/kNahX3bnK6VcC1JbWX7jgPmtunmgqr/X0SwXK0zKV8f3RzwnOm3uX6acDc5VTPdn65zpZJQ9sBgIIIIAAAggggAACCCCAQO0IRBYMEJkG1bqB4LRpE909A25Z1JL6yUAtV5r51aluoK55nzT4X71miSnp5wh9/s5db6Z+MlB52crpU3q1pfWVxl94noq7pHnlKamMymqBBvnLV9xkWq7nmqqMUriclmVrV8sqONF1BBBAAAEEEEAAAQQQQACBGhWINBgQteH06ZPcd/+jrrd262PLEUAAAQQQQAABBBBAAAEEEDArSjBAn6Trk3aAYyBAFxBAAAEEEEAAAQQQQAABBBBIEyhKMCCtDZ6WWIDmEEAAAQQQQAABBBBAAAEEEMglQDAgl07lLKOnCCCAAAIIIIBAJAJjFk61OKdINpJKEEAAAQSK8zUBXEshQBsIIIAAAggggAACCCCAAAII9E6AKwN651aetWgVAQQQQAABBBBAAAEEakogzlfq+L7V1A6poo0lGBDznUn3EEAAAQQQQAABBBBAAAEEEIhagGBA1KJ9ry92NXTc8mWLc4odGB1CAAEEEEAAAQQQQAABBGIuQDAgFjuITiCAAAIIIIAAAggggAACCCBQOgGCAaWz7toSzxBAAAEEYn3Hcn0Pkl2EAAIIIIAAAghUqwDBgBLuWZpCAAEEEEAAAQQQQACB0gjE+Wuu6ltpFGgFgewCBAOy20SxhDoQQAABBBBAAAEEEEAAAQQQiJ0AwYDIdwkVIoAAAggggAACCCCAAAIIIBBvAYIBUewf6kAAAQQQQAABBBBAAAEEEECgggQIBvRyZ7EaAggggAACCCCAAAIIIIAAApUqQDAg/z1HSQQQQAABBBBAAAEEEEAAAQSqQoBgQM7dyMJqE9BPhcU5VZs324MAAggggAACCCCAAALxFCAYkL5feI5ABQic8f3jFvdUAYx0EQEEEEAAAQQQQACBmhUgGGBmNbv32XAEEEAAAQQQQAABBBBAAIGaFKjVYIDb2clkh61a9Yh1dh5zz3lAAAEEEEAAAQQQQAABBBBAoBYEaigY0HV3bnvhFVu44D577tntdv993ycg0JWHZwgggAACCCCAAAIIIIAAAlUsUN3BgCw7TlcEPPnkT2zx4uvt4kvG2YQrxttTm57LUppsBBBAAAEEEEAAAQQQQAABBKpLoOqCAfnunmGn1tvAugGu+Pjx59lVV09w8zwggAACCCCAAAIIIIAAAgggUO0C1RAMKHgfJRL1NmrkcLt32fes88ixgtdnBQQQQAABBBBAAAEEEEAAAQQqWaBCgwF9J9eVAHPmTLdXX/0l9wzoOyc1IIAAAggggAACCCCAAAIIVJBA5QQDioDakBhin/7MOfal5ivsjttX29697wTTNTarZalLuslgEZq1g+1mb7zer2JS+9fXWZxTIZb/60//xeKc8t2W//jtky3uKd9toVzhrwVxPh/Vt0L2aZzPR/WtkG3hnCz8WC7EN+5ldezHORXip2M/zqmQbeG85LyshvMyzuej71sh5yVlozsvNa7sy3g11sGAvmxYIes2NTXahCsutKOdx+yWRS22es0Sl8ZfeF4h1eRddmiD2Vlnf0DCgGOAY4BjgGOAY4BjgGOAY4BjgGOgZo6Bz/34fYtzqrQx2tBgXJn3IDRDwbgFAzJ0Mfqsxx7dYqtWPZKquL39kG359xdSz5lBAAEEEEAAAQQQQAABBBBAoJoFYhAMKD2v7hegGwguXHCfPffsdvvWohXW3DzRmsY0lr4ztIgAAggggAACCCCAAAIIIIBAiQXKEwwo8UZmak4BgWX3zreLLxlnK1bebMX6SkCmtslDAAEEEEAAAQQQQAABBBBAoJwCJQsGlHMjaRsBBBBAAAEEEEAAAQQQQKC8Am99ub/FOZVXp/StFzMYUPqtKbDFRKLeZs++xurqBhS4JsURQAABBBBAAAEEEEAAAQQQqFyBiIMBlQtBzxFAAAEEEEAAAQQQQAABBBCoFYG+BwNqRYrtRAABBBBAAAEEEEAAAQQQQKBKBHoVDKiSbWczEEAAAQQQQAABBBBAAAEEEKhJgXyDATWJw0YjgAACCCCAAAIIIIAAAgggUI0COYIB1bi5bFMlCDz26Ba74/Y11tl5rFt3d+9qtW9+437TtNvCDBmqY9WqRyyZ7MiwNHeW+qG28llXZbe98EruCkNL1S9t46yWpeaT+hkqUvCs+qk6VHfBK7MCAhEIrP3u43mfm765Uhy3Oic437w401oU0N/MeXPvSv290fxLL/7c/T3V368oTXo6pzkfo9SmrrgI6Dzy7+c01fuxYvRN57L+1haj7mx19tSmznm9X9Z2+ySPbPXlk6/31H2tI592KGPWNRiACAIxEWht3Wdv7X2nW2+2b9+ZMUjQrWAEGVddPcHuvudG069ORFBdqgq9qOpFc8qUS231miWpdNFvne/emOlFNVWYGQQQ6JMA51uf+Fi5igQ+97nzU39vlq+4yT57wW+4v3H6W1eqzeR8LJU07ZRKwAe39uzdnzq/9N5u1MjhNfGeToP2xX/2gM2ZM73L9stfQXj5aJ4UX4GT4ts1elarAnpBbWwcYc+/8LMuBBok79z5pg0bVh980n+oy7JKeaIXxR/+8N9t4cI/tPEXntel23pejOBDl0Z4gkANCXC+1dDOZlNjL8D5GPtdRAd7IfDUpuds3Lix7qfKw6sryPYHf/AFW79+Uzi7qub1vvzJJ39it/3lDdY0prHLtmn7b1nUws+3d1GJz5NwT7gyIKzBfGwE9MKqzuiFRlOl3bv22EXBJxt1dQP1NJV0KZa/LEmfuD/11H+YLi3SurcufsCee3a7KWqpTyS0kpb58poqqql8lVddeuFWPS+99HMLX4qlZSqvpOW+Ha3rk+rQMpVROz7fT3W1g4IZ6S+afnl4qv7qUk7VpaT2/XLVrTy1pTZVVtuobdU2K0/lVYbIrFdjWi4BHY86VnU8KunY1Lml49b3adu2V7pcwhxepjJaR+sq6bzwy1W3lvnzVs9VXimq801tqU21rdcLPU8/39LPSbVPQiDuAv481PGr80j91aBdfzd0rOu5jnd//Osc8OW0TEnrKl9J5fS3WvnpqZTno/qo/mg7tD3pfeE5AlEI6NjSB1iXXX5Bxuo++akml6+/Szom/TnlMoOHcF74PNKx68v6df3fuI5D7wZrmnufq3JKvqxbEDyoXuUrfXhOtga5H/5XfT39PQ6vr7LJ5KEPV0571Lmu9+v5XEGbbftUpW/Pn68qu3z5Q7Zhw2bTsmSyw11loe3RMq1DKlgg6woEA7LSsKDcAmPHjLZnnn7RdUMvuFuf32GfCl5Yh51a7/L0oBcJTXVJlpIuU9oYvHgoTy9Of3HbDXbxJeNSUUv/IqKyPqle/0L66i9+aVv/Y4ct+tYsqx9yiqpxKVc7rsCJB70wTpgw3l0qpRcvvYk6schNksELqvrlnuR40HorVz7sriDw/VRx9UMW+uOz7N757rIsbZOCC4rMalu1zSqrtGLlzaavIyhyreckBEotkAz+iN/+V6tNn5D4Y1mXT/5HcJ75vui82779VXfeqIyO5TVrHk3df0DHvcpqmZKurNH5ofNE+Vrfn7fh8ysZwfmm+rdv32mzZn3JdD7p9aIhMcS9pvjzbeDAAZZ+Tmo9EgJxEtA5pzfTSukDBH2Kp/NSf0/Wrn3c/d3Q1Wo6x3Q1m65a07mnpK+0+XNS5XV+6NzQMpXTJ4VtB7rfp6dU56M3V5/4++c1mBZD4OjRD+9tpb8BmeqvqxtgdcHfh/bgb9GVky+xLVu2pb7qqnOr88gxU8BA55HW1znkk/7WZHtvqnPZl9d7QZ1zyeBvrfJ0buoc9fXonNQ5rPZUpqe/x1pf9fj19X543bonrPPEtmqZT/pKr67k9c+zTbV94dcJ9Vl1apvjMFMAABAASURBVPvUJ60XPl/1ejRv3rU2bdpEd8VFT++ttT4pk0B+eQQD8nOiVIkENNDVmwi9uDSNGeXeYCtPnyjoBTWRqDe9YdELkH8BmTlzaqp3TWMa3Zv2VEZoRvXoxUiRRr0Z8kmfputFV0WHDRvqAgFqR8+VCmmnKeizXuz1Ajfzq1O7XTaVCAYRvj7VnS2pnxo8NQXb48v47dQfHxn83QOP2BkjTzO148v4qe+/3tTpDZ1eWP0ypgiUUsD/Eddx6NvV8ajvL/vn55x7pvnjW3k6fpubJ5rOA3++hJfrvND5oeUqn+m8VX4U55va1ycfeuOi16HZs6/pdh8RveHr6ZxUf0gIlFNA55x/g697Bug8Cvdn0uSL3TmnPH++6hz7z//8hc2dc2fqyh19YqcA3N6977i/0V+/4RrTOaD1NP39378y9Vx5PpXqfNTrh9rk758USMUU8EEAvS/L1I7ed2oQ3RC899P5VjdogP3s5d2u6I82PWv68EhPdJ4V8t70nHPONJ2vWjcRvC9ubBxuCjjo75XOTZ2j/j2uzl2dw2qjp7/HWl91hv/eqn79vVV+etJ7db0fT88PP5eBguXh1wnVqQ/vtgcfAmhe5XOdr009vLfW+qQTAr2YEAzoBRqrFFdAbyb0pkEvEHqDrRdOvWiOG3dOnxvWVQWKSPo3RH6qN/iqXMv9i7ueF5rUZ0VhFVzwlzuF69Dgva2tI/WJZ3hZIfMaTOkNly7fUuAh07raJkWH0z8BylSWPATiKKA3EPn0K9t5G9X51hQE5XTFzYMP/shdspipT/mck5nWIw+BuAgo2NXZedRa39xnflCgvukTOv+30k/1d66hYYgW551KeT7y9y/v3ULBPgjo/arep/qrWNOr0vtX5em9oab+6oCXX95l/qoA5etvWCHvTYcNq88YcFNdCq7rU3Z/rvqp/kZpeZSpKRikb9++s8vrRW/q7+l8lZ9ec7K9t+5Nm9W0Tl+3hWBAXwVZv6gC+kROn7S3HegIPmUf5dpSJFKDBL04KEPRRE2VdBnU6tU/1Gy35F+09b0rv7Cz85j7GcNsA2qVK6Qd//1LRVXVnt5cqQ6flPelL11hy5Z9z9Lb1HMN7vUmTNutTyK1PX5df6m/or9qpykYoOjSZb04+jJ+qrp0WZY+3dFlknqx9suYIlBKgabgzYLOYR2Tvl0dm/4yR+Xpkwx/fOu5zoGNGzeb3jhlOv/8cp0nKp8tRXG+KTioyyb1yY8+2dBrkdoPt6nztKdzMlyeeQTiJqC/hbqUuKXlatNVOf7vpM4xnYvhY17nr84JnV8aCOkqNa2vbdJUQTNN9TycVL6vf//yOR/1WqM+8vcvrM98sQT0Cb3eY+mcCLehY1Dv42bMmJzKbgret+nqgHvu/id3VYDOCSWdR/6cU2GdP/pASceynueb/N/L9L+nupeU/k419fD32K8ffl+tc1/bkakPKq/3mLqHjuoPl9H2axuUp+3L9DqhD/m0jSqb63zV31fVn+29tdqosRTp5hIMiJSTyvoqoDfcehFsSHz4iYM+SdBzvSFJJD66V4BvR9FEzfvLofQ94uZpE5WVMSkyqhclX16XT+mFTC9CGVc4kZlvO6pffVC9esFvCl74T1SRmihP34nWi6vvh6Ya1Cvyqe1UGV1CpaCBlikpAKJ+aJnKKE+BDw2YUpWfmNH2qLzKaCB2WZab25wozgSBSAR0OeRtt307dTmx3hzpWPXfOdTxqKRjU5cs+0b1SYbW1TIlvbHQoETHusrouNdUy5TSl2tZtqQ6+nK+6Y2azjG1uXDBfe6u0dqmcHtqQ3nqW7ZzMlyeeQTiJHDs2Ht2/33fd4MTHcv6+6G/kzp/9Vznoo5/Hd9KOn/9Oam/efr7rL95WqapbvSrTzozbaPqK/b5qP6rj+oPf/8y7QXyohTQ3wjdNV/njI45n3QM+vd04fb09+QznznX3SvA5+s8Cq+v8yif96Z+/fBU56ba9v3QuatzWOee/k719PdY66u+8PpTvvB501d1lZ+edL7pPj7h96taV+XkIh9tX/rrhN8+re/7m+181fo9vbdWe9Wdird1BAOKZ0vNvRDQC5VePDTV6noR0XO9EOi5kl44/IuVnmveXwalF95Jkz5nvrzW13Jfn8prmS+vqepTvsqorNbRc71whr+Pr2Uqr5TejupUPapDy1RG5VVPphQup7JK6eXVvr7XqWVK4eVqT3larnJqQ3WqjO+/5lVG/dEylSEhUEwBf8zpuFPSc7Wn40/HofKUlK9zS8eulum5Pj3RMqXwca31lVRGy5TCy/36/rhX2fSkMuH2VYfqC5dTX1SvlimFl4eX6dzTeqpTZXy7ytd6qkPlVYaEQFwEdEzqnEvvj/LO+2ST6e+s/ob55TqedXzrudbVca3jW8nna5mSyirfJ/0NVhl/bqhMOOncKfb5qPbVH7Wj9sLtM49AMQTSzwMdg5na0fl04/wvW/r5kb6+Px91/KouX17r67wN163nyvd5Kq/jX0nnbniZ6tN5oWVKKtvT+jqnVcbXnz5V/WpH9fmk7QmX03O/TFO/fSqjPihP/VL/lKflWkfzytMylVFZ5dVEKtFGEgwoETTNIIAAAggggAACCCCAAAIIIJBJoBx5BAPKoU6bCCCAAAIIIIAAAggggAACtSxQ9m0nGFD2XUAHEEAAAQQQQAABBBBAAAEEql8gXlvYp2CA7jCpG8zoBm/x2ix6gwACCCCAAAIIIIAAAggggECZBWLcfK+DAfopCN1Z+blnt7u70KYHBPQzEUradgUN9JNp+omJTOV010klBRZUPlNSXSqjFC7n61b+vLl3mX56wq+vPipfKVPbPZVTX7We1ldSfX4d9Sf83OczRQABBBBAAAEEEEAAAQQQqF2BStnyXgUDNAB/8smf2OLF19vFl4yzCVeMt6c2PZfaZg2i9TMR4Z8zW7DwDy39p2Y0mN6+faetWHmz6Q6RqkCDbE3DKVs5tfN3Dzxif/AHX3Dr66ct1qx51NQ/BQU2btxsy+6d75bpJy3Wrn08XK2bz1VO5bWe+qZ6VJ/Ka0Xlb9/+qmZJCCCAAAIIIIAAAggggAACtStQkVveq2CAtlQD+4F1AzRr48efl/opN2UcPXpMExs48MPl+kmIgQM/7vLCD1uf32FTplya+nkN/bSUggga5OdT7vXX9rp1P/mpJldcP21x0UXn2+5de2x7EGTQvNrWwkmTL9bEBQrczImHbOVee22PtR3oMB/QUD3NzRNdvVq1ITHEOoPtTO+rlpEQQAABBBBAAAEEEEAAAQSqWaDyt61XwYBEot5GjRxu9y77nnUe+XDgH6ZoTx6ysWPPdAP1cH543g+im8aMSmUPPBE88MEELchVbt/+tqCd0V3aaWwcYa2t+9ygX5/eqw6luiBwURfUr77puU+6iiBTudY391lj43DTtvqyiSAAoPJ6nqmvyichgAACCCCAAAIIIIAAAghUoUCVbVKvggEyuOrqCTZnznR79dVfdrtnQDIIBnQeOapiBaVsA/b0Sny5dw93pi8KBu9DXCCg24IgQwN79S2Yzflf5To6jnQr0xAEA/zVAOrDsGFDu5UhAwEEEEAAAQQQQAABBBBAoDoEqnkreh0MEIoGx5/+zDn2peYr7I7bV3cZhOsTepUpJOkqAA22VW+u9Xy5UwbXdSumwX4iUd8tXxnJZIcLFmg+V1K5+vpB3YroqgJdXaBAQLeFBWQcbDd74/V+JAw4BjgGOAY4BjgGOAY4BjgGOAY4BjgG4nUMVMz+0LiygGFot6J9Cgb42pqaGm3CFReaBss+r6epH1Dr+/2+rP96gL8EX/m5yo0YPsx27nzTFBxQWSV9RUCBCAUEdD8A5SmpTKZAQ7ZyjaP1dYP9XQIcyeShIJjwYaBB9bW1HVTVBaehDWZnnf0BCQOOAY4BjgGOAY4BjgGOAY4BjgGOAY6Bsh8DlTk2GxqMKwsejIZW6FUwQHf8D/+8X3v7Idvy7y+EqjX3vf0uGRmeXDn5EtuyZVtqML9+/SZ3LwIFAHTX/vvv+75blq3ceZ/8hNUNGmA/e3m3q13rbN26w3QfAt34T8GAZLLDLfO/dqDBv8s48ZCt3Cc+Mcp0L4Fnnn7RlVQ9+jUB5bmM4EF1hQMXQRb/EUAAAQQQQAABBBBAAAEE4i5A/6xXwQDdL0A3EFy44D577tnt9q1FK6y5eWIwCG90pOEb7bmMLA9NYxrdDQDnzrnTZrUsdaVUt2Y0kJ8wYby7OWCucvoFgnXrnnDrL1v2PWtpudp9eq+Bun6pQH1U3apv5sypqtoUNJg39y7TTxbmKqdfINB6Wl/1hLfxrb3v2NHOY65/rlIeEEAAAQQQQAABBBBAAAEEYitAx7oK9CoYoCo0aF9273y7+JJxtmLlzTb+wvOU7VJD6EZ7LiN4SCTqbfbsa7oNnlXP6jVLTEnLg6LuagBd0u9/MlB5mcopX/Xefc+Nbv3lK25KBSS0TH1SvUq3LGpJta3ggspqea5yukJB62l9JV9e6yRDXxnQcxICCCCAAAIIIIAAAggggECsBOhMDoFeBwNy1Ok+mdeN9vTpea5y2ZZpEK5P/DXNVqac+bpfwNbnd5i+YlDOftA2AggggAACCCCAAAIIIIBAWID5fAX6FAzQp/L6ND/ToH3mV6d2+ZQ+3w5VQjltr7Zb218J/aWPCCCAAAIIIIAAAggggEDVCrBhvRLoUzCgVy2yEgIIIIAAAggggAACCCCAAAJ9EGDVvgsQDOi7ITUggAACCCCAAAIIIIAAAggUV4DaIxYgGBAxKNUhgAACCCCAAAIIIIAAAghEIUAdxRQgGFBMXepGAAEEEEAAAQQQQAABBBDIX4CSJRMgGFAyahpCAAEEEEAAAQQQQAABBBBIF+B5eQQIBpTHnVYRQAABBBBAAAEEEEAAgVoVYLtjIEAwIAY7gS4ggAACCCCAAAIIIIAAAtUtwNbFTYBgQNz2CP1BAAEEEEAAAQQQQAABBKpBgG2ItQDBgFjvHjqHAAIIIIAAAggggAACCFSOAD2tHAGCAZWzr+gpAggggAACCCCAAAIIIBA3AfpToQIEAyp0x9FtBBBAAAEEEEAAAQQQQKA8ArRaDQIEA6phL7INCCCAAAIIIIAAAggggEAxBai76gQIBlTdLmWDEEAAAQQQQAABBBBAAIG+C1BDdQsQDKju/cvWIYAAAggggAACCCCAAAL5ClCuhgQIBtTQzmZTEUAAgd4I7N7VavPm3mWzWpa69M1v3G/JZId1dh6zO25f45Lme1N3Mdbx/X3s0S1Zq/dl/DZpuu2FV7KW72mBPOSyatUjPRUt2XJtf2+2y9to/b50VsdET8eH2lAffZKhLHvbrtZVHeXeD74ffrvkII98tkvHodbTNJ/ylEEAAQT6LkANtSpAMKBW9zzbjQACCBQoMG3aRFux8mYbNmyo/d0Dj9jRo8cKrCEexTUAve3hhyRzAAAJ0ElEQVS2b9usWV+y1WuWuDRv3rW2fPlDsQtsWC//aeC5fftOt/bW53e4aZwe1D8NkLds2WbL7p3v9oH2xTnnnmkLF9xn2kdx6m9v+3LxJePc9rW1HbSnNj3X22pYDwEEEIhegBoRCAQIBgQI/EcAAQRqUaDjli9btpTNo65ugA07td40uDl69L1sxWKbr0+9n3zyJ6bAxvgLz0v1U/MajN6yqMW0jakFMZoZs3CqZUqZuvjW3nestXWfW/Rf//mqabvdk5g8aGCs/s2ZM90SifpUr2bPvsYFBq66ekIqL24zZ3z/uGVK2fo5cOAAUwBNwRkFQbKVIx8BBBAotgD1I5AuQDAgXYTnCCCAAAJZBTSYaTvQ4QY3Awd+vEs5LdOnvbrEOZz0KW+mZfrqgR+k6rLu8DqaD18mrXnl+aTyvvH0uleufNgv6jbVgEyZ48aN1SRrSr/MO9xe+rKVK9e7KyUOHDhozz273X2qnd5fPc/aWBEW/GjTs67WL3/li27qt9s9CR7St8HvC+WvDPyOHDlqGzZstmd/8l/uagntVzlrf6ms9mlQTeqrIn6/+KlfrjLpSfWoP42NI+yMkaelL+7yXP3RZf++3krbD9oYH5jRMecDTToe/Db5qbZT26t1wkmWvoyf+v2RqZ5cRtp32oe+fpX1dWqq+vwypgggUBUCbAQCOQUIBuTkYSECCCCAgBfQ4HDunDvdVQFfv+EaGxh84umXabp27ePu0+jFi693n+7qEmnlh9OgQQNNy3VpuAZGftDqy+hyfX0V4dxzzzJ9gq+BowYouoRfy/TpvdZ99Re/NA1ktF56u+ece6ZpMKtl6WnP3v3uk/+GxJD0RannGpDd/lerTfVkam/9+k2urPqh5XPmzDB5nHrqUNM2X3b5BbZu3RNuXsuVdOWBW6kED+q/fD79mXNs0qTPmaYafMtSzWt5ePvUP5V58MEfuX2qT+u1n3T1xGcv+A2tkjWl22v7sxY+sUBfL9GVJbrCRMfAiexuk/R+ylvb5fd73PeDNkjBIX0lRfMKBmiqwfjq1T9MHR86H+StZelJx77OO+0L7SedA+ll9FzuWq5y/kqQdD8t9/tZx4Ic5SlXLVPdOs/UpuokIYBApQrQbwTyFyAYkL8VJRFAAIGaFtBAQ4OGu++5scul3UJpbz9kGlhosNE0plFZduXkSyx9kOM/DVYgQZdO6yoDDUy0ggbTTWNGucG6BooaMGrg6L/zroGKPr3Ud8r1Kbzae+21PXm1q/qVRo0c7j7Nbk8e0tOM6ZmnX3Rl1H8VSCTqbcKE8eYHWapD7asfGlCpTDj5bdNAUP0t9eBq9649pv5d9Fvnu25p+otfvGE/e3m3e56+fcrU5fmFfkVCg03tg572ueoPJ+8T3vfh5X4+vZ+Vth+0HX6QLqNly77nvq6hwIyW+eOrKThftFx56UnHvs4LBZi07JOfarJzg0CZ5sNJ+1jPdX4pEJYMju90Py33+1nnlfadjhMdxzpOdX6pjNrUlIQAAhUkQFcR6KUAwYBewrEaAggggEDpBDQg8p9gKiChpKDE0KGDC+qE/3TWD8gKWvlEYX2fXZ+i6qkG/OkBAX3arYG1BoIqo0FWqQICCqzoigrfbhwHefLRftA9A3QJvframxTn/ZC+PRqs+0F6+rJyPtcxqnMpnBQwKGefaBsBBPIToBQCUQgQDIhCkToQQACBGhdoaBjiLqv3n56LQ18B0ABI831JGkjpE0x/WXgy2eG+x66pPi0+59wzU5/aq51c7epT2ClTLnXfhw8P0DWvgbMG9voUVgNW1aP61I7ueq9Pb7W+8nTZv4ITClLoeaakQZUPGmRaXow8Da41yPZXcfhBngZ9+iRY25K+feqHtlvfTdd8OMkhfJVGMvjEWftUn0AXah+ud9Lki0116P4EyWB/+mXqh/aD9kd6P1WuUvaD3x4/1T7RVTKJxBBTIET5/vjS1wZ03igvPfljX5/ya5mu7tBVHprvKaX7qbx8tZ/9vlMwS9ZapqmWa56EAAKxFKBTCEQuQDAgclIqRAABBCpDoP6O71u21Jst0OBXA2Z9R1oDOg00elNP+joaeGtQrfpUry5rVpmXT1z2Xmi7/hNlfWKv+pQ0rzZUlwZKi741y339QMvUngIOWqZP3nXzNp+vfsyYMVmTVNLgTjdqUxnVq4G4tiFVoJczu5Y9bplSuDp/xYMfcPpluiRdfdegMn371E8NRvv16+e+HuHX8dOZM6e6G0bKQdujQIPfHpn0Zp8ryKCrJ+SqetUHJQUsFGRR/en9VDmVV5valnLth7e+3N8yJe8VnvpjVt/7109ZKpiktHDhH7oAlrZZ54sCLOH1/LwcdFy69VuWup+/9Mt6mqb7qa3wfpajjk3tUy3TtG7gAPdVhp7qZjkCCJRKgHYQKK4AwYDi+lI7AgggUPECGrwsX3GTaRAd3hg/oNOgTvNapgGG/zTaT7WelquckuaVNK+kea2ny/41gPH1hJ9rUOTr01Tr/fZvf1ZFXdL6yg8ntesWZnhIr0/rKc8XVT/UvvKVVL+Wqa9qW3lKKqOySppXOe+l5UrK07qlSNpm7Sv1Idyenitfy5Xv+6v+KWnZ1Ksud/drSC+bvs2+DtWjpO1THeGkMn49eWleZdNT+royVN98Oc0rz9et8lqm+lSvz1cZlVXSvMr57fBllKd1S5F8P3zbmoaPr/S+abn6rfVUTs81VV811fNw0rbLwC/TNFzWP1d9qtevG97PKi8Tv0zTmV+dauqblpEQQKBMAjSLQAkFCAaUEJumEEAAAQQQQAABBBBAAIGwAPMIlEuAYEC55GkXAQQQQAABBBBAAAEEalGAbUYgFgIEA2KxG+gEAggggAACCCCAAAIIVK8AW4ZA/AQIBsRvn9AjBBBAAAEEEEAAAQQQqHQB+o9AzAUIBsR8B9E9BBBAAAEEEEAAAQQQqAwBeolAJQkQDKikvUVfEUAAAQQQQAABBBBAIE4C9AWBihUgGFCxu46OI4AAAggggAACCCCAQOkFaBGB6hAgGFAd+5GtQAABBBBAAAEEEEAAgWIJUC8CVShAMKAKdyqbhAACCCCAAAIIIIAAAn0TYG0Eql2AYEC172G2DwEEEEAAAQQQQAABBPIRoAwCNSVAMKCmdjcbiwACCCCAAAIIIIAAAh8JMIdA7QoQDKjdfc+WI4AAAggggAACCCBQewJsMQIIOAGCAY6BBwQQQAABBBBAAAEEEKhWAbYLAQS6CxAM6G5CDgIIIIAAAggggAACCFS2AL1HAIEeBE4EA/q91n7wMSNhwDHAMcAxwDHAMcAxwDHAMcAxwDFQmccA+439xjGQ7zFg1u+1/x8AAP//W/m9TgAAAAZJREFUAwBWsvbauj5snwAAAABJRU5ErkJggg==">
          <a:extLst>
            <a:ext uri="{FF2B5EF4-FFF2-40B4-BE49-F238E27FC236}">
              <a16:creationId xmlns:a16="http://schemas.microsoft.com/office/drawing/2014/main" id="{AA18A07F-7D53-48EC-A993-680C468C0034}"/>
            </a:ext>
          </a:extLst>
        </xdr:cNvPr>
        <xdr:cNvSpPr>
          <a:spLocks noChangeAspect="1" noChangeArrowheads="1"/>
        </xdr:cNvSpPr>
      </xdr:nvSpPr>
      <xdr:spPr bwMode="auto">
        <a:xfrm>
          <a:off x="1122045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47627</xdr:colOff>
      <xdr:row>5</xdr:row>
      <xdr:rowOff>9526</xdr:rowOff>
    </xdr:from>
    <xdr:to>
      <xdr:col>5</xdr:col>
      <xdr:colOff>600075</xdr:colOff>
      <xdr:row>26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2DDE66-9424-4E3C-858F-99FFFED56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28</xdr:row>
      <xdr:rowOff>176211</xdr:rowOff>
    </xdr:from>
    <xdr:to>
      <xdr:col>2</xdr:col>
      <xdr:colOff>0</xdr:colOff>
      <xdr:row>43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3C86A36-40CF-42EF-A49B-93D5DE5CA8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1152525</xdr:colOff>
      <xdr:row>29</xdr:row>
      <xdr:rowOff>9525</xdr:rowOff>
    </xdr:from>
    <xdr:to>
      <xdr:col>5</xdr:col>
      <xdr:colOff>590550</xdr:colOff>
      <xdr:row>43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58E2841-54E5-4FCC-A785-A6E9053B7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133350</xdr:colOff>
      <xdr:row>44</xdr:row>
      <xdr:rowOff>0</xdr:rowOff>
    </xdr:from>
    <xdr:to>
      <xdr:col>2</xdr:col>
      <xdr:colOff>9525</xdr:colOff>
      <xdr:row>57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EF5B81-5601-4C97-BA38-D4D82ABAB1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1152525</xdr:colOff>
      <xdr:row>43</xdr:row>
      <xdr:rowOff>166687</xdr:rowOff>
    </xdr:from>
    <xdr:to>
      <xdr:col>6</xdr:col>
      <xdr:colOff>9525</xdr:colOff>
      <xdr:row>56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857720-07D5-4B06-AAFA-A25C3E601A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ownloads\IC-Sales-Management-Dashboard-Templat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ownloads\sales%20management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AMPLE - Sales Dashboard"/>
      <sheetName val="BLANK - Sales Dashboard"/>
      <sheetName val="- Disclaimer -"/>
    </sheetNames>
    <sheetDataSet>
      <sheetData sheetId="0">
        <row r="11">
          <cell r="C11">
            <v>1</v>
          </cell>
          <cell r="D11"/>
          <cell r="E11">
            <v>2</v>
          </cell>
          <cell r="F11"/>
          <cell r="G11">
            <v>3</v>
          </cell>
          <cell r="H11"/>
          <cell r="I11">
            <v>4</v>
          </cell>
          <cell r="J11"/>
          <cell r="K11">
            <v>5</v>
          </cell>
          <cell r="L11"/>
        </row>
        <row r="12">
          <cell r="C12" t="str">
            <v>EST</v>
          </cell>
          <cell r="D12" t="str">
            <v>ACT</v>
          </cell>
          <cell r="E12" t="str">
            <v>EST</v>
          </cell>
          <cell r="F12" t="str">
            <v>ACT</v>
          </cell>
          <cell r="G12" t="str">
            <v>EST</v>
          </cell>
          <cell r="H12" t="str">
            <v>ACT</v>
          </cell>
          <cell r="I12" t="str">
            <v>EST</v>
          </cell>
          <cell r="J12" t="str">
            <v>ACT</v>
          </cell>
          <cell r="K12" t="str">
            <v>EST</v>
          </cell>
          <cell r="L12" t="str">
            <v>ACT</v>
          </cell>
        </row>
        <row r="13">
          <cell r="B13" t="str">
            <v>2028 Q1</v>
          </cell>
          <cell r="C13">
            <v>236047</v>
          </cell>
          <cell r="D13">
            <v>328554</v>
          </cell>
          <cell r="E13">
            <v>350156</v>
          </cell>
          <cell r="F13">
            <v>370834</v>
          </cell>
          <cell r="G13">
            <v>229432</v>
          </cell>
          <cell r="H13">
            <v>330368</v>
          </cell>
          <cell r="I13">
            <v>238175</v>
          </cell>
          <cell r="J13">
            <v>266070</v>
          </cell>
          <cell r="K13">
            <v>209115</v>
          </cell>
          <cell r="L13">
            <v>217289</v>
          </cell>
        </row>
        <row r="14">
          <cell r="B14" t="str">
            <v>2028 Q2</v>
          </cell>
          <cell r="C14">
            <v>373060</v>
          </cell>
          <cell r="D14">
            <v>238136</v>
          </cell>
          <cell r="E14">
            <v>369399</v>
          </cell>
          <cell r="F14">
            <v>247324</v>
          </cell>
          <cell r="G14">
            <v>321904</v>
          </cell>
          <cell r="H14">
            <v>279114</v>
          </cell>
          <cell r="I14">
            <v>202721</v>
          </cell>
          <cell r="J14">
            <v>353563</v>
          </cell>
          <cell r="K14">
            <v>317489</v>
          </cell>
          <cell r="L14">
            <v>312312</v>
          </cell>
        </row>
        <row r="15">
          <cell r="B15" t="str">
            <v>2028 Q3</v>
          </cell>
          <cell r="C15">
            <v>224132</v>
          </cell>
          <cell r="D15">
            <v>300822</v>
          </cell>
          <cell r="E15">
            <v>278834</v>
          </cell>
          <cell r="F15">
            <v>237385</v>
          </cell>
          <cell r="G15">
            <v>230496</v>
          </cell>
          <cell r="H15">
            <v>219257</v>
          </cell>
          <cell r="I15">
            <v>253279</v>
          </cell>
          <cell r="J15">
            <v>312586</v>
          </cell>
          <cell r="K15">
            <v>203571</v>
          </cell>
          <cell r="L15">
            <v>203487</v>
          </cell>
        </row>
        <row r="16">
          <cell r="B16" t="str">
            <v>2028 Q4</v>
          </cell>
          <cell r="C16">
            <v>269305</v>
          </cell>
          <cell r="D16">
            <v>315337</v>
          </cell>
          <cell r="E16">
            <v>264277</v>
          </cell>
          <cell r="F16">
            <v>245048</v>
          </cell>
          <cell r="G16">
            <v>254328</v>
          </cell>
          <cell r="H16">
            <v>361880</v>
          </cell>
          <cell r="I16">
            <v>211847</v>
          </cell>
          <cell r="J16">
            <v>306970</v>
          </cell>
          <cell r="K16">
            <v>339945</v>
          </cell>
          <cell r="L16">
            <v>374445</v>
          </cell>
        </row>
        <row r="77">
          <cell r="C77" t="str">
            <v>EST</v>
          </cell>
          <cell r="D77"/>
          <cell r="E77"/>
          <cell r="F77"/>
          <cell r="G77"/>
          <cell r="H77" t="str">
            <v>ACT</v>
          </cell>
          <cell r="I77"/>
          <cell r="J77"/>
          <cell r="K77"/>
          <cell r="L77"/>
        </row>
        <row r="78">
          <cell r="C78" t="str">
            <v>PROD1</v>
          </cell>
          <cell r="D78" t="str">
            <v>PROD2</v>
          </cell>
          <cell r="E78" t="str">
            <v>PROD3</v>
          </cell>
          <cell r="F78" t="str">
            <v>PROD4</v>
          </cell>
          <cell r="G78" t="str">
            <v>PROD5</v>
          </cell>
          <cell r="H78" t="str">
            <v>PROD1</v>
          </cell>
          <cell r="I78" t="str">
            <v>PROD2</v>
          </cell>
          <cell r="J78" t="str">
            <v>PROD3</v>
          </cell>
          <cell r="K78" t="str">
            <v>PROD4</v>
          </cell>
          <cell r="L78" t="str">
            <v>PROD5</v>
          </cell>
        </row>
        <row r="79">
          <cell r="B79">
            <v>2028</v>
          </cell>
          <cell r="C79">
            <v>1102544</v>
          </cell>
          <cell r="D79">
            <v>1262666</v>
          </cell>
          <cell r="E79">
            <v>1036160</v>
          </cell>
          <cell r="F79">
            <v>906022</v>
          </cell>
          <cell r="G79">
            <v>1070120</v>
          </cell>
          <cell r="H79">
            <v>1182849</v>
          </cell>
          <cell r="I79">
            <v>1100591</v>
          </cell>
          <cell r="J79">
            <v>1190619</v>
          </cell>
          <cell r="K79">
            <v>1239189</v>
          </cell>
          <cell r="L79">
            <v>1107533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 1"/>
    </sheetNames>
    <sheetDataSet>
      <sheetData sheetId="0">
        <row r="87">
          <cell r="B87" t="str">
            <v>REP1</v>
          </cell>
          <cell r="D87" t="str">
            <v>REP2</v>
          </cell>
          <cell r="F87" t="str">
            <v>REP3</v>
          </cell>
          <cell r="H87" t="str">
            <v>REP4</v>
          </cell>
          <cell r="J87" t="str">
            <v>REP5</v>
          </cell>
        </row>
        <row r="88">
          <cell r="B88" t="str">
            <v>EST</v>
          </cell>
          <cell r="C88" t="str">
            <v>ACT</v>
          </cell>
          <cell r="D88" t="str">
            <v>EST</v>
          </cell>
          <cell r="E88" t="str">
            <v>ACT</v>
          </cell>
          <cell r="F88" t="str">
            <v>EST</v>
          </cell>
          <cell r="G88" t="str">
            <v>ACT</v>
          </cell>
          <cell r="H88" t="str">
            <v>EST</v>
          </cell>
          <cell r="I88" t="str">
            <v>ACT</v>
          </cell>
          <cell r="J88" t="str">
            <v>EST</v>
          </cell>
          <cell r="K88" t="str">
            <v>ACT</v>
          </cell>
        </row>
        <row r="89">
          <cell r="A89" t="str">
            <v>2028 Q1</v>
          </cell>
          <cell r="B89">
            <v>36047</v>
          </cell>
          <cell r="C89">
            <v>128554</v>
          </cell>
          <cell r="D89">
            <v>550156</v>
          </cell>
          <cell r="E89">
            <v>570834</v>
          </cell>
          <cell r="F89">
            <v>179432</v>
          </cell>
          <cell r="G89">
            <v>280368</v>
          </cell>
          <cell r="H89">
            <v>138175</v>
          </cell>
          <cell r="I89">
            <v>166070</v>
          </cell>
          <cell r="J89">
            <v>359115</v>
          </cell>
          <cell r="K89">
            <v>367289</v>
          </cell>
        </row>
        <row r="90">
          <cell r="A90" t="str">
            <v>2028 Q2</v>
          </cell>
          <cell r="B90">
            <v>173060</v>
          </cell>
          <cell r="C90">
            <v>38136</v>
          </cell>
          <cell r="D90">
            <v>569399</v>
          </cell>
          <cell r="E90">
            <v>447324</v>
          </cell>
          <cell r="F90">
            <v>271904</v>
          </cell>
          <cell r="G90">
            <v>229114</v>
          </cell>
          <cell r="H90">
            <v>102721</v>
          </cell>
          <cell r="I90">
            <v>253563</v>
          </cell>
          <cell r="J90">
            <v>467489</v>
          </cell>
          <cell r="K90">
            <v>462312</v>
          </cell>
        </row>
        <row r="91">
          <cell r="A91" t="str">
            <v>2028 Q3</v>
          </cell>
          <cell r="B91">
            <v>24132</v>
          </cell>
          <cell r="C91">
            <v>100822</v>
          </cell>
          <cell r="D91">
            <v>478834</v>
          </cell>
          <cell r="E91">
            <v>437385</v>
          </cell>
          <cell r="F91">
            <v>180496</v>
          </cell>
          <cell r="G91">
            <v>169257</v>
          </cell>
          <cell r="H91">
            <v>153279</v>
          </cell>
          <cell r="I91">
            <v>212586</v>
          </cell>
          <cell r="J91">
            <v>353571</v>
          </cell>
          <cell r="K91">
            <v>353487</v>
          </cell>
        </row>
        <row r="92">
          <cell r="A92" t="str">
            <v>2028 Q4</v>
          </cell>
          <cell r="B92">
            <v>69305</v>
          </cell>
          <cell r="C92">
            <v>115337</v>
          </cell>
          <cell r="D92">
            <v>464277</v>
          </cell>
          <cell r="E92">
            <v>445048</v>
          </cell>
          <cell r="F92">
            <v>204328</v>
          </cell>
          <cell r="G92">
            <v>311880</v>
          </cell>
          <cell r="H92">
            <v>111847</v>
          </cell>
          <cell r="I92">
            <v>206970</v>
          </cell>
          <cell r="J92">
            <v>489945</v>
          </cell>
          <cell r="K92">
            <v>524445</v>
          </cell>
        </row>
        <row r="150">
          <cell r="G150" t="str">
            <v>EAST</v>
          </cell>
          <cell r="H150" t="str">
            <v>MIDWEST</v>
          </cell>
          <cell r="I150" t="str">
            <v>MOUNTAIN</v>
          </cell>
          <cell r="J150" t="str">
            <v>WEST</v>
          </cell>
          <cell r="K150" t="str">
            <v>OUTSIDE U.S.</v>
          </cell>
        </row>
        <row r="151">
          <cell r="G151">
            <v>790619</v>
          </cell>
          <cell r="H151">
            <v>1406022</v>
          </cell>
          <cell r="I151">
            <v>1739189</v>
          </cell>
          <cell r="J151">
            <v>270120</v>
          </cell>
          <cell r="K151">
            <v>307533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1E105-738B-47CE-8F25-E4E63989158E}">
  <sheetPr codeName="Sheet1"/>
  <dimension ref="A1:E106"/>
  <sheetViews>
    <sheetView tabSelected="1" zoomScaleNormal="100" workbookViewId="0">
      <selection activeCell="H73" sqref="H73"/>
    </sheetView>
  </sheetViews>
  <sheetFormatPr defaultRowHeight="15"/>
  <cols>
    <col min="1" max="1" width="41.5703125" customWidth="1"/>
    <col min="2" max="2" width="24.7109375" bestFit="1" customWidth="1"/>
    <col min="3" max="3" width="23.5703125" bestFit="1" customWidth="1"/>
    <col min="4" max="4" width="20.85546875" bestFit="1" customWidth="1"/>
    <col min="5" max="5" width="23.28515625" bestFit="1" customWidth="1"/>
    <col min="8" max="8" width="14.5703125" bestFit="1" customWidth="1"/>
    <col min="9" max="9" width="12.7109375" bestFit="1" customWidth="1"/>
    <col min="13" max="13" width="7.85546875" bestFit="1" customWidth="1"/>
  </cols>
  <sheetData>
    <row r="1" spans="1:5" ht="30">
      <c r="A1" s="19" t="s">
        <v>75</v>
      </c>
      <c r="B1" s="17"/>
      <c r="C1" s="17"/>
      <c r="D1" s="18"/>
    </row>
    <row r="6" spans="1:5" ht="20.25">
      <c r="A6" s="5"/>
      <c r="B6" s="6"/>
      <c r="C6" s="2"/>
      <c r="D6" s="2"/>
      <c r="E6" s="2"/>
    </row>
    <row r="59" spans="1:5" ht="21">
      <c r="A59" s="7" t="s">
        <v>15</v>
      </c>
      <c r="B59" s="7" t="s">
        <v>19</v>
      </c>
    </row>
    <row r="60" spans="1:5" ht="21">
      <c r="A60" s="7" t="s">
        <v>16</v>
      </c>
      <c r="B60" s="7" t="s">
        <v>20</v>
      </c>
    </row>
    <row r="61" spans="1:5" ht="21">
      <c r="A61" s="7" t="s">
        <v>17</v>
      </c>
      <c r="B61" s="8">
        <f ca="1">TODAY()</f>
        <v>46090</v>
      </c>
    </row>
    <row r="62" spans="1:5" ht="21">
      <c r="A62" s="7" t="s">
        <v>18</v>
      </c>
      <c r="B62" s="7" t="s">
        <v>21</v>
      </c>
    </row>
    <row r="64" spans="1:5" ht="28.5">
      <c r="A64" s="1" t="s">
        <v>0</v>
      </c>
      <c r="B64" s="2"/>
      <c r="C64" s="2"/>
      <c r="D64" s="2"/>
      <c r="E64" s="2"/>
    </row>
    <row r="65" spans="1:5">
      <c r="A65" s="25" t="s">
        <v>1</v>
      </c>
      <c r="B65" s="26" t="s">
        <v>2</v>
      </c>
      <c r="C65" s="26" t="s">
        <v>3</v>
      </c>
      <c r="D65" s="26" t="s">
        <v>4</v>
      </c>
      <c r="E65" s="26" t="s">
        <v>5</v>
      </c>
    </row>
    <row r="66" spans="1:5" ht="16.5">
      <c r="A66" s="3" t="s">
        <v>6</v>
      </c>
      <c r="B66" s="4" t="s">
        <v>7</v>
      </c>
      <c r="C66" s="4">
        <v>55</v>
      </c>
      <c r="D66" s="9">
        <v>11</v>
      </c>
      <c r="E66" s="10">
        <f>C66*D66</f>
        <v>605</v>
      </c>
    </row>
    <row r="67" spans="1:5" ht="16.5">
      <c r="A67" s="3" t="s">
        <v>8</v>
      </c>
      <c r="B67" s="4" t="s">
        <v>9</v>
      </c>
      <c r="C67" s="4">
        <v>80</v>
      </c>
      <c r="D67" s="9">
        <v>6</v>
      </c>
      <c r="E67" s="10">
        <f>C67*D67</f>
        <v>480</v>
      </c>
    </row>
    <row r="68" spans="1:5" ht="16.5">
      <c r="A68" s="3" t="s">
        <v>10</v>
      </c>
      <c r="B68" s="4" t="s">
        <v>11</v>
      </c>
      <c r="C68" s="4">
        <v>50</v>
      </c>
      <c r="D68" s="9">
        <v>12</v>
      </c>
      <c r="E68" s="10">
        <f t="shared" ref="E68:E70" si="0">C68*D68</f>
        <v>600</v>
      </c>
    </row>
    <row r="69" spans="1:5" ht="16.5">
      <c r="A69" s="3" t="s">
        <v>12</v>
      </c>
      <c r="B69" s="4" t="s">
        <v>7</v>
      </c>
      <c r="C69" s="4">
        <v>165</v>
      </c>
      <c r="D69" s="9">
        <v>5</v>
      </c>
      <c r="E69" s="10">
        <f t="shared" si="0"/>
        <v>825</v>
      </c>
    </row>
    <row r="70" spans="1:5" ht="16.5">
      <c r="A70" s="3" t="s">
        <v>13</v>
      </c>
      <c r="B70" s="4" t="s">
        <v>9</v>
      </c>
      <c r="C70" s="4">
        <v>74</v>
      </c>
      <c r="D70" s="9">
        <v>9</v>
      </c>
      <c r="E70" s="10">
        <f t="shared" si="0"/>
        <v>666</v>
      </c>
    </row>
    <row r="71" spans="1:5">
      <c r="A71" s="2"/>
      <c r="B71" s="2"/>
      <c r="C71" s="39" t="s">
        <v>14</v>
      </c>
      <c r="D71" s="40"/>
      <c r="E71" s="11">
        <f>SUM(E66:E70)</f>
        <v>3176</v>
      </c>
    </row>
    <row r="73" spans="1:5" ht="28.5">
      <c r="A73" s="1" t="s">
        <v>22</v>
      </c>
      <c r="B73" s="2"/>
      <c r="C73" s="2"/>
      <c r="D73" s="2"/>
      <c r="E73" s="2"/>
    </row>
    <row r="74" spans="1:5">
      <c r="A74" s="25" t="s">
        <v>23</v>
      </c>
      <c r="B74" s="26" t="s">
        <v>24</v>
      </c>
      <c r="C74" s="26" t="s">
        <v>25</v>
      </c>
      <c r="D74" s="26" t="s">
        <v>26</v>
      </c>
      <c r="E74" s="26" t="s">
        <v>5</v>
      </c>
    </row>
    <row r="75" spans="1:5" ht="16.5">
      <c r="A75" s="3" t="s">
        <v>27</v>
      </c>
      <c r="B75" s="4" t="s">
        <v>28</v>
      </c>
      <c r="C75" s="4">
        <v>20</v>
      </c>
      <c r="D75" s="12">
        <v>60</v>
      </c>
      <c r="E75" s="13">
        <v>1200</v>
      </c>
    </row>
    <row r="76" spans="1:5" ht="16.5">
      <c r="A76" s="3" t="s">
        <v>29</v>
      </c>
      <c r="B76" s="4" t="s">
        <v>30</v>
      </c>
      <c r="C76" s="4">
        <v>8</v>
      </c>
      <c r="D76" s="12">
        <v>45</v>
      </c>
      <c r="E76" s="13">
        <v>360</v>
      </c>
    </row>
    <row r="77" spans="1:5" ht="16.5">
      <c r="A77" s="3" t="s">
        <v>31</v>
      </c>
      <c r="B77" s="4" t="s">
        <v>32</v>
      </c>
      <c r="C77" s="4">
        <v>20</v>
      </c>
      <c r="D77" s="12">
        <v>75</v>
      </c>
      <c r="E77" s="13">
        <v>1500</v>
      </c>
    </row>
    <row r="78" spans="1:5" ht="16.5">
      <c r="A78" s="3" t="s">
        <v>33</v>
      </c>
      <c r="B78" s="4" t="s">
        <v>34</v>
      </c>
      <c r="C78" s="4">
        <v>30</v>
      </c>
      <c r="D78" s="12">
        <v>45</v>
      </c>
      <c r="E78" s="13">
        <v>1350</v>
      </c>
    </row>
    <row r="79" spans="1:5" ht="16.5">
      <c r="A79" s="3" t="s">
        <v>35</v>
      </c>
      <c r="B79" s="4" t="s">
        <v>36</v>
      </c>
      <c r="C79" s="4">
        <v>25</v>
      </c>
      <c r="D79" s="12">
        <v>35</v>
      </c>
      <c r="E79" s="13">
        <v>875</v>
      </c>
    </row>
    <row r="80" spans="1:5" ht="15.75">
      <c r="C80" s="33" t="s">
        <v>37</v>
      </c>
      <c r="D80" s="34"/>
      <c r="E80" s="24">
        <f>SUM(E75:E79)</f>
        <v>5285</v>
      </c>
    </row>
    <row r="82" spans="1:5" ht="28.5">
      <c r="A82" s="1" t="s">
        <v>38</v>
      </c>
      <c r="B82" s="2"/>
      <c r="C82" s="2"/>
      <c r="D82" s="2"/>
      <c r="E82" s="2"/>
    </row>
    <row r="83" spans="1:5">
      <c r="A83" s="25" t="s">
        <v>1</v>
      </c>
      <c r="B83" s="26" t="s">
        <v>3</v>
      </c>
      <c r="C83" s="26" t="s">
        <v>39</v>
      </c>
      <c r="D83" s="26" t="s">
        <v>40</v>
      </c>
      <c r="E83" s="26" t="s">
        <v>5</v>
      </c>
    </row>
    <row r="84" spans="1:5" ht="16.5">
      <c r="A84" s="3" t="s">
        <v>41</v>
      </c>
      <c r="B84" s="4" t="s">
        <v>42</v>
      </c>
      <c r="C84" s="14">
        <v>1200</v>
      </c>
      <c r="D84" s="14" t="s">
        <v>43</v>
      </c>
      <c r="E84" s="10">
        <f>C84</f>
        <v>1200</v>
      </c>
    </row>
    <row r="85" spans="1:5" ht="16.5">
      <c r="A85" s="3" t="s">
        <v>44</v>
      </c>
      <c r="B85" s="4" t="s">
        <v>45</v>
      </c>
      <c r="C85" s="14">
        <v>800</v>
      </c>
      <c r="D85" s="14">
        <v>150</v>
      </c>
      <c r="E85" s="10">
        <f>C85+D85</f>
        <v>950</v>
      </c>
    </row>
    <row r="86" spans="1:5" ht="16.5">
      <c r="A86" s="3" t="s">
        <v>46</v>
      </c>
      <c r="B86" s="4" t="s">
        <v>47</v>
      </c>
      <c r="C86" s="14" t="s">
        <v>48</v>
      </c>
      <c r="D86" s="14" t="s">
        <v>43</v>
      </c>
      <c r="E86" s="10" t="str">
        <f t="shared" ref="E86:E88" si="1">C86</f>
        <v xml:space="preserve">$145.00 </v>
      </c>
    </row>
    <row r="87" spans="1:5" ht="16.5">
      <c r="A87" s="3" t="s">
        <v>49</v>
      </c>
      <c r="B87" s="4"/>
      <c r="C87" s="14" t="s">
        <v>50</v>
      </c>
      <c r="D87" s="14" t="s">
        <v>43</v>
      </c>
      <c r="E87" s="10" t="str">
        <f t="shared" si="1"/>
        <v xml:space="preserve">$160.00 </v>
      </c>
    </row>
    <row r="88" spans="1:5" ht="16.5">
      <c r="A88" s="3" t="s">
        <v>51</v>
      </c>
      <c r="B88" s="4" t="s">
        <v>52</v>
      </c>
      <c r="C88" s="14" t="s">
        <v>53</v>
      </c>
      <c r="D88" s="14" t="s">
        <v>43</v>
      </c>
      <c r="E88" s="10" t="str">
        <f t="shared" si="1"/>
        <v xml:space="preserve">$5,000.00 </v>
      </c>
    </row>
    <row r="89" spans="1:5">
      <c r="A89" s="2"/>
      <c r="B89" s="2"/>
      <c r="C89" s="35" t="s">
        <v>54</v>
      </c>
      <c r="D89" s="36"/>
      <c r="E89" s="23" t="s">
        <v>55</v>
      </c>
    </row>
    <row r="91" spans="1:5" ht="28.5">
      <c r="A91" s="1" t="s">
        <v>56</v>
      </c>
      <c r="B91" s="2"/>
      <c r="C91" s="2"/>
      <c r="D91" s="2"/>
      <c r="E91" s="2"/>
    </row>
    <row r="92" spans="1:5">
      <c r="A92" s="25" t="s">
        <v>57</v>
      </c>
      <c r="B92" s="26" t="s">
        <v>58</v>
      </c>
      <c r="C92" s="26" t="s">
        <v>59</v>
      </c>
      <c r="D92" s="26" t="s">
        <v>26</v>
      </c>
      <c r="E92" s="26" t="s">
        <v>60</v>
      </c>
    </row>
    <row r="93" spans="1:5">
      <c r="A93" s="27" t="s">
        <v>61</v>
      </c>
      <c r="B93" s="28"/>
      <c r="C93" s="29">
        <v>30000</v>
      </c>
      <c r="D93" s="29">
        <v>0.06</v>
      </c>
      <c r="E93" s="30">
        <f>C93*D93</f>
        <v>1800</v>
      </c>
    </row>
    <row r="94" spans="1:5" ht="16.5">
      <c r="A94" s="3" t="s">
        <v>62</v>
      </c>
      <c r="B94" s="4"/>
      <c r="C94" s="9">
        <v>35000</v>
      </c>
      <c r="D94" s="9">
        <v>0.06</v>
      </c>
      <c r="E94" s="10">
        <f>C94*D94</f>
        <v>2100</v>
      </c>
    </row>
    <row r="95" spans="1:5" ht="16.5">
      <c r="A95" s="3" t="s">
        <v>36</v>
      </c>
      <c r="B95" s="4"/>
      <c r="C95" s="9">
        <v>25000</v>
      </c>
      <c r="D95" s="9">
        <v>0.06</v>
      </c>
      <c r="E95" s="10">
        <f t="shared" ref="E95:E97" si="2">C95*D95</f>
        <v>1500</v>
      </c>
    </row>
    <row r="96" spans="1:5" ht="16.5">
      <c r="A96" s="3" t="s">
        <v>63</v>
      </c>
      <c r="B96" s="4"/>
      <c r="C96" s="9">
        <v>30000</v>
      </c>
      <c r="D96" s="9">
        <v>0.06</v>
      </c>
      <c r="E96" s="10">
        <f t="shared" si="2"/>
        <v>1800</v>
      </c>
    </row>
    <row r="97" spans="1:5" ht="16.5">
      <c r="A97" s="3"/>
      <c r="B97" s="4"/>
      <c r="C97" s="9"/>
      <c r="D97" s="9">
        <v>0</v>
      </c>
      <c r="E97" s="10">
        <f t="shared" si="2"/>
        <v>0</v>
      </c>
    </row>
    <row r="98" spans="1:5" ht="16.5">
      <c r="A98" s="2"/>
      <c r="B98" s="2"/>
      <c r="C98" s="37" t="s">
        <v>64</v>
      </c>
      <c r="D98" s="38"/>
      <c r="E98" s="20">
        <f>SUM(E93:E97)</f>
        <v>7200</v>
      </c>
    </row>
    <row r="100" spans="1:5" ht="28.5">
      <c r="A100" s="1" t="s">
        <v>65</v>
      </c>
      <c r="B100" s="2"/>
      <c r="C100" s="2"/>
      <c r="D100" s="2"/>
      <c r="E100" s="2"/>
    </row>
    <row r="101" spans="1:5">
      <c r="A101" s="41" t="s">
        <v>66</v>
      </c>
      <c r="B101" s="42"/>
      <c r="C101" s="26" t="s">
        <v>67</v>
      </c>
      <c r="D101" s="26" t="s">
        <v>68</v>
      </c>
      <c r="E101" s="26" t="s">
        <v>69</v>
      </c>
    </row>
    <row r="102" spans="1:5" ht="16.5" customHeight="1">
      <c r="A102" s="31" t="s">
        <v>70</v>
      </c>
      <c r="B102" s="32"/>
      <c r="C102" s="9">
        <v>6000</v>
      </c>
      <c r="D102" s="15">
        <v>3176</v>
      </c>
      <c r="E102" s="16">
        <f>C102-D102</f>
        <v>2824</v>
      </c>
    </row>
    <row r="103" spans="1:5" ht="16.5" customHeight="1">
      <c r="A103" s="31" t="s">
        <v>71</v>
      </c>
      <c r="B103" s="32"/>
      <c r="C103" s="9">
        <v>75000</v>
      </c>
      <c r="D103" s="15">
        <v>5285</v>
      </c>
      <c r="E103" s="16">
        <f t="shared" ref="E103:E105" si="3">C103-D103</f>
        <v>69715</v>
      </c>
    </row>
    <row r="104" spans="1:5" ht="16.5" customHeight="1">
      <c r="A104" s="31" t="s">
        <v>72</v>
      </c>
      <c r="B104" s="32"/>
      <c r="C104" s="9">
        <v>62000</v>
      </c>
      <c r="D104" s="15">
        <v>7455</v>
      </c>
      <c r="E104" s="16">
        <f t="shared" si="3"/>
        <v>54545</v>
      </c>
    </row>
    <row r="105" spans="1:5" ht="16.5" customHeight="1">
      <c r="A105" s="31" t="s">
        <v>73</v>
      </c>
      <c r="B105" s="32"/>
      <c r="C105" s="9">
        <v>5000</v>
      </c>
      <c r="D105" s="15">
        <v>6600</v>
      </c>
      <c r="E105" s="16">
        <f t="shared" si="3"/>
        <v>-1600</v>
      </c>
    </row>
    <row r="106" spans="1:5">
      <c r="A106" s="2"/>
      <c r="B106" s="21" t="s">
        <v>74</v>
      </c>
      <c r="C106" s="22">
        <f>SUM(C102:C105)</f>
        <v>148000</v>
      </c>
      <c r="D106" s="22">
        <f>SUM(D102:D105)</f>
        <v>22516</v>
      </c>
      <c r="E106" s="22">
        <f>SUM(E102:E105)</f>
        <v>125484</v>
      </c>
    </row>
  </sheetData>
  <mergeCells count="9">
    <mergeCell ref="A105:B105"/>
    <mergeCell ref="C80:D80"/>
    <mergeCell ref="C89:D89"/>
    <mergeCell ref="C98:D98"/>
    <mergeCell ref="C71:D71"/>
    <mergeCell ref="A101:B101"/>
    <mergeCell ref="A102:B102"/>
    <mergeCell ref="A103:B103"/>
    <mergeCell ref="A104:B104"/>
  </mergeCells>
  <pageMargins left="0.7" right="0.7" top="0.75" bottom="0.75" header="0.3" footer="0.3"/>
  <ignoredErrors>
    <ignoredError sqref="E85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SITHPC-11</dc:creator>
  <cp:lastModifiedBy>SITHPC-11</cp:lastModifiedBy>
  <dcterms:created xsi:type="dcterms:W3CDTF">2026-01-05T05:45:52Z</dcterms:created>
  <dcterms:modified xsi:type="dcterms:W3CDTF">2026-03-09T07:57:58Z</dcterms:modified>
</cp:coreProperties>
</file>