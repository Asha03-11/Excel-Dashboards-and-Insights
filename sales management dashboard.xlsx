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C213146-BCE5-4A28-87F4-5EAB7B857A0A}" xr6:coauthVersionLast="36" xr6:coauthVersionMax="36" xr10:uidLastSave="{00000000-0000-0000-0000-000000000000}"/>
  <bookViews>
    <workbookView xWindow="0" yWindow="0" windowWidth="28800" windowHeight="12210" xr2:uid="{3F8FAF12-81B4-43FD-9C85-D098CDA50D50}"/>
  </bookViews>
  <sheets>
    <sheet name="DASHBOARD 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  <c r="C83" i="1"/>
  <c r="K84" i="1" s="1"/>
  <c r="D83" i="1"/>
  <c r="E83" i="1"/>
  <c r="F83" i="1"/>
  <c r="G83" i="1"/>
  <c r="H83" i="1"/>
  <c r="I83" i="1"/>
  <c r="J83" i="1"/>
  <c r="K83" i="1"/>
  <c r="H84" i="1"/>
  <c r="B105" i="1"/>
  <c r="H106" i="1" s="1"/>
  <c r="C105" i="1"/>
  <c r="D105" i="1"/>
  <c r="E105" i="1"/>
  <c r="F105" i="1"/>
  <c r="G105" i="1"/>
  <c r="K106" i="1" s="1"/>
  <c r="H105" i="1"/>
  <c r="I105" i="1"/>
  <c r="J105" i="1"/>
  <c r="K105" i="1"/>
  <c r="B128" i="1"/>
  <c r="C128" i="1"/>
  <c r="K129" i="1" s="1"/>
  <c r="D128" i="1"/>
  <c r="E128" i="1"/>
  <c r="F128" i="1"/>
  <c r="G128" i="1"/>
  <c r="H128" i="1"/>
  <c r="I128" i="1"/>
  <c r="J128" i="1"/>
  <c r="K128" i="1"/>
  <c r="H129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51" i="1"/>
  <c r="C151" i="1"/>
  <c r="D151" i="1"/>
  <c r="E151" i="1"/>
  <c r="F151" i="1"/>
  <c r="G151" i="1"/>
  <c r="H151" i="1"/>
  <c r="I151" i="1"/>
  <c r="J151" i="1"/>
  <c r="K151" i="1"/>
  <c r="B152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</calcChain>
</file>

<file path=xl/sharedStrings.xml><?xml version="1.0" encoding="utf-8"?>
<sst xmlns="http://schemas.openxmlformats.org/spreadsheetml/2006/main" count="146" uniqueCount="45">
  <si>
    <t>OUTSIDE U.S.</t>
  </si>
  <si>
    <t>WEST</t>
  </si>
  <si>
    <t>MOUNTAIN</t>
  </si>
  <si>
    <t>MIDWEST</t>
  </si>
  <si>
    <t>EAST</t>
  </si>
  <si>
    <t>ACT</t>
  </si>
  <si>
    <t>EST</t>
  </si>
  <si>
    <t>YEAR</t>
  </si>
  <si>
    <t>SUMMARY: REGIONAL STATISTICS</t>
  </si>
  <si>
    <t>REP5</t>
  </si>
  <si>
    <t>REP4</t>
  </si>
  <si>
    <t>REP3</t>
  </si>
  <si>
    <t>REP2</t>
  </si>
  <si>
    <t>REP1</t>
  </si>
  <si>
    <t>SUMMARY: SALES REP STATISTICS</t>
  </si>
  <si>
    <t>PROD5</t>
  </si>
  <si>
    <t>PROD4</t>
  </si>
  <si>
    <t>PROD3</t>
  </si>
  <si>
    <t>PROD2</t>
  </si>
  <si>
    <t>PROD1</t>
  </si>
  <si>
    <t>SUMMARY: PRODUCT STATISTICS</t>
  </si>
  <si>
    <t>TOTAL ACTUAL</t>
  </si>
  <si>
    <t>TOTAL EST</t>
  </si>
  <si>
    <t>TOTALS</t>
  </si>
  <si>
    <t>2031 Q4</t>
  </si>
  <si>
    <t>2031 Q3</t>
  </si>
  <si>
    <t>2031 Q2</t>
  </si>
  <si>
    <t>2031 Q1</t>
  </si>
  <si>
    <t>2030 Q4</t>
  </si>
  <si>
    <t>2030 Q3</t>
  </si>
  <si>
    <t>2030 Q2</t>
  </si>
  <si>
    <t>2030 Q1</t>
  </si>
  <si>
    <t>2029 Q4</t>
  </si>
  <si>
    <t>2029 Q3</t>
  </si>
  <si>
    <t>2029 Q2</t>
  </si>
  <si>
    <t>2029 Q1</t>
  </si>
  <si>
    <t>2028 Q4</t>
  </si>
  <si>
    <t>2028 Q3</t>
  </si>
  <si>
    <t>2028 Q2</t>
  </si>
  <si>
    <t>2028 Q1</t>
  </si>
  <si>
    <t>QUARTER</t>
  </si>
  <si>
    <t>REGIONAL STATISTICS</t>
  </si>
  <si>
    <t>SALES REP STATISTICS</t>
  </si>
  <si>
    <t>PRODUCTS</t>
  </si>
  <si>
    <t>Sales Management: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</si>
</sst>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(&quot;$&quot;* #,##0_);_(&quot;$&quot;* \(#,##0\);_(&quot;$&quot;* &quot;-&quot;??_);_(@_)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0"/>
      <name val="Century Gothic"/>
      <family val="2"/>
    </font>
    <font>
      <sz val="14"/>
      <color theme="0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1"/>
    </font>
    <font>
      <b/>
      <sz val="15"/>
      <color theme="0"/>
      <name val="Century Gothic"/>
      <family val="1"/>
    </font>
    <font>
      <sz val="22"/>
      <color theme="3" tint="-0.249977111117893"/>
      <name val="Century Gothic"/>
      <family val="2"/>
    </font>
    <font>
      <u/>
      <sz val="22"/>
      <color theme="9" tint="-0.249977111117893"/>
      <name val="Century Gothic"/>
      <family val="2"/>
    </font>
    <font>
      <b/>
      <sz val="12"/>
      <color theme="0"/>
      <name val="Century Gothic"/>
      <family val="1"/>
    </font>
    <font>
      <b/>
      <sz val="15"/>
      <color theme="7" tint="-0.249977111117893"/>
      <name val="Century Gothic"/>
      <family val="2"/>
    </font>
    <font>
      <b/>
      <sz val="15"/>
      <color theme="0"/>
      <name val="Century Gothic"/>
      <family val="2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6EA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FF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8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wrapText="1" indent="1"/>
    </xf>
    <xf numFmtId="0" fontId="4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left" vertical="center" indent="1"/>
    </xf>
    <xf numFmtId="0" fontId="5" fillId="7" borderId="6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5" fillId="10" borderId="4" xfId="0" applyFont="1" applyFill="1" applyBorder="1" applyAlignment="1">
      <alignment horizontal="left" vertical="center" indent="1"/>
    </xf>
    <xf numFmtId="0" fontId="5" fillId="10" borderId="6" xfId="0" applyFont="1" applyFill="1" applyBorder="1" applyAlignment="1">
      <alignment horizontal="left" vertical="center" indent="1"/>
    </xf>
    <xf numFmtId="164" fontId="2" fillId="11" borderId="1" xfId="1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left" vertical="center" wrapText="1" indent="1"/>
    </xf>
    <xf numFmtId="0" fontId="4" fillId="12" borderId="4" xfId="0" applyFont="1" applyFill="1" applyBorder="1" applyAlignment="1">
      <alignment horizontal="left" vertical="center" wrapText="1" indent="1"/>
    </xf>
    <xf numFmtId="0" fontId="5" fillId="12" borderId="4" xfId="0" applyFont="1" applyFill="1" applyBorder="1" applyAlignment="1">
      <alignment horizontal="left" vertical="center" indent="1"/>
    </xf>
    <xf numFmtId="0" fontId="5" fillId="12" borderId="6" xfId="0" applyFont="1" applyFill="1" applyBorder="1" applyAlignment="1">
      <alignment horizontal="left" vertical="center" indent="1"/>
    </xf>
    <xf numFmtId="164" fontId="3" fillId="14" borderId="7" xfId="0" applyNumberFormat="1" applyFont="1" applyFill="1" applyBorder="1" applyAlignment="1">
      <alignment horizontal="left" vertical="center" wrapText="1" indent="1"/>
    </xf>
    <xf numFmtId="0" fontId="6" fillId="15" borderId="7" xfId="0" applyFont="1" applyFill="1" applyBorder="1" applyAlignment="1">
      <alignment horizontal="right" vertical="center" wrapText="1" indent="1"/>
    </xf>
    <xf numFmtId="0" fontId="6" fillId="15" borderId="7" xfId="0" applyFont="1" applyFill="1" applyBorder="1" applyAlignment="1">
      <alignment horizontal="right" vertical="center" wrapText="1" indent="2"/>
    </xf>
    <xf numFmtId="0" fontId="6" fillId="15" borderId="8" xfId="0" applyFont="1" applyFill="1" applyBorder="1" applyAlignment="1">
      <alignment horizontal="right" vertical="center" wrapText="1" indent="2"/>
    </xf>
    <xf numFmtId="0" fontId="3" fillId="0" borderId="0" xfId="0" applyFont="1" applyAlignment="1">
      <alignment horizontal="left" vertical="center" wrapText="1" indent="1"/>
    </xf>
    <xf numFmtId="164" fontId="3" fillId="3" borderId="7" xfId="0" applyNumberFormat="1" applyFont="1" applyFill="1" applyBorder="1" applyAlignment="1">
      <alignment horizontal="left" vertical="center" wrapText="1" indent="1"/>
    </xf>
    <xf numFmtId="164" fontId="3" fillId="3" borderId="9" xfId="0" applyNumberFormat="1" applyFont="1" applyFill="1" applyBorder="1" applyAlignment="1">
      <alignment horizontal="left" vertical="center" wrapText="1" indent="1"/>
    </xf>
    <xf numFmtId="0" fontId="7" fillId="3" borderId="9" xfId="0" applyFont="1" applyFill="1" applyBorder="1" applyAlignment="1">
      <alignment horizontal="left" vertical="center" wrapText="1" indent="1"/>
    </xf>
    <xf numFmtId="164" fontId="8" fillId="16" borderId="7" xfId="1" applyNumberFormat="1" applyFont="1" applyFill="1" applyBorder="1" applyAlignment="1">
      <alignment horizontal="left" vertical="center" wrapText="1" indent="1"/>
    </xf>
    <xf numFmtId="164" fontId="8" fillId="17" borderId="7" xfId="1" applyNumberFormat="1" applyFont="1" applyFill="1" applyBorder="1" applyAlignment="1">
      <alignment horizontal="left" vertical="center" wrapText="1" indent="1"/>
    </xf>
    <xf numFmtId="164" fontId="2" fillId="16" borderId="7" xfId="1" applyNumberFormat="1" applyFont="1" applyFill="1" applyBorder="1" applyAlignment="1">
      <alignment horizontal="left" vertical="center" wrapText="1" indent="1"/>
    </xf>
    <xf numFmtId="164" fontId="2" fillId="18" borderId="7" xfId="1" applyNumberFormat="1" applyFont="1" applyFill="1" applyBorder="1" applyAlignment="1">
      <alignment horizontal="left" vertical="center" wrapText="1" indent="1"/>
    </xf>
    <xf numFmtId="0" fontId="3" fillId="3" borderId="7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indent="1"/>
    </xf>
    <xf numFmtId="0" fontId="4" fillId="5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10" fillId="0" borderId="0" xfId="0" applyFont="1" applyAlignment="1">
      <alignment wrapText="1"/>
    </xf>
    <xf numFmtId="164" fontId="3" fillId="19" borderId="7" xfId="0" applyNumberFormat="1" applyFont="1" applyFill="1" applyBorder="1" applyAlignment="1">
      <alignment horizontal="left" vertical="center" wrapText="1" indent="1"/>
    </xf>
    <xf numFmtId="0" fontId="6" fillId="10" borderId="7" xfId="0" applyFont="1" applyFill="1" applyBorder="1" applyAlignment="1">
      <alignment horizontal="right" vertical="center" wrapText="1" indent="1"/>
    </xf>
    <xf numFmtId="0" fontId="6" fillId="10" borderId="7" xfId="0" applyFont="1" applyFill="1" applyBorder="1" applyAlignment="1">
      <alignment horizontal="right" vertical="center" wrapText="1" indent="2"/>
    </xf>
    <xf numFmtId="0" fontId="6" fillId="10" borderId="8" xfId="0" applyFont="1" applyFill="1" applyBorder="1" applyAlignment="1">
      <alignment horizontal="right" vertical="center" wrapText="1" indent="2"/>
    </xf>
    <xf numFmtId="164" fontId="8" fillId="20" borderId="7" xfId="1" applyNumberFormat="1" applyFont="1" applyFill="1" applyBorder="1" applyAlignment="1">
      <alignment horizontal="left" vertical="center" wrapText="1" indent="1"/>
    </xf>
    <xf numFmtId="0" fontId="4" fillId="21" borderId="7" xfId="0" applyFont="1" applyFill="1" applyBorder="1" applyAlignment="1">
      <alignment horizontal="left" vertical="center" wrapText="1" indent="1"/>
    </xf>
    <xf numFmtId="0" fontId="4" fillId="21" borderId="7" xfId="0" applyFont="1" applyFill="1" applyBorder="1" applyAlignment="1">
      <alignment horizontal="left" vertical="center" indent="1"/>
    </xf>
    <xf numFmtId="0" fontId="9" fillId="5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164" fontId="3" fillId="22" borderId="7" xfId="0" applyNumberFormat="1" applyFont="1" applyFill="1" applyBorder="1" applyAlignment="1">
      <alignment horizontal="left" vertical="center" wrapText="1" indent="1"/>
    </xf>
    <xf numFmtId="0" fontId="6" fillId="12" borderId="7" xfId="0" applyFont="1" applyFill="1" applyBorder="1" applyAlignment="1">
      <alignment horizontal="right" vertical="center" wrapText="1" indent="1"/>
    </xf>
    <xf numFmtId="0" fontId="6" fillId="12" borderId="7" xfId="0" applyFont="1" applyFill="1" applyBorder="1" applyAlignment="1">
      <alignment horizontal="right" vertical="center" wrapText="1" indent="2"/>
    </xf>
    <xf numFmtId="0" fontId="6" fillId="12" borderId="8" xfId="0" applyFont="1" applyFill="1" applyBorder="1" applyAlignment="1">
      <alignment horizontal="right" vertical="center" wrapText="1" indent="2"/>
    </xf>
    <xf numFmtId="164" fontId="2" fillId="11" borderId="7" xfId="1" applyNumberFormat="1" applyFont="1" applyFill="1" applyBorder="1" applyAlignment="1">
      <alignment horizontal="left" vertical="center" wrapText="1" indent="1"/>
    </xf>
    <xf numFmtId="0" fontId="4" fillId="23" borderId="7" xfId="0" applyFont="1" applyFill="1" applyBorder="1" applyAlignment="1">
      <alignment horizontal="left" vertical="center" wrapText="1" indent="1"/>
    </xf>
    <xf numFmtId="0" fontId="4" fillId="23" borderId="7" xfId="0" applyFont="1" applyFill="1" applyBorder="1" applyAlignment="1">
      <alignment horizontal="left" vertical="center" indent="1"/>
    </xf>
    <xf numFmtId="0" fontId="9" fillId="5" borderId="10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12" borderId="10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5" fillId="0" borderId="0" xfId="0" applyFont="1" applyAlignment="1">
      <alignment wrapText="1"/>
    </xf>
    <xf numFmtId="0" fontId="16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C" sz="3200" b="0">
                <a:solidFill>
                  <a:schemeClr val="accent6">
                    <a:lumMod val="75000"/>
                  </a:schemeClr>
                </a:solidFill>
              </a:rPr>
              <a:t>Sales</a:t>
            </a:r>
            <a:r>
              <a:rPr lang="fr-MC" sz="3200" b="0" baseline="0">
                <a:solidFill>
                  <a:schemeClr val="accent6">
                    <a:lumMod val="75000"/>
                  </a:schemeClr>
                </a:solidFill>
              </a:rPr>
              <a:t> statistics</a:t>
            </a:r>
            <a:endParaRPr lang="fr-MC" sz="3200" b="0">
              <a:solidFill>
                <a:schemeClr val="accent6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1'!$B$87:$B$88</c:f>
              <c:strCache>
                <c:ptCount val="2"/>
                <c:pt idx="0">
                  <c:v>REP1</c:v>
                </c:pt>
                <c:pt idx="1">
                  <c:v>EST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1'!$B$89:$B$92</c:f>
              <c:numCache>
                <c:formatCode>_("$"* #,##0_);_("$"* \(#,##0\);_("$"* "-"??_);_(@_)</c:formatCode>
                <c:ptCount val="4"/>
                <c:pt idx="0">
                  <c:v>36047</c:v>
                </c:pt>
                <c:pt idx="1">
                  <c:v>173060</c:v>
                </c:pt>
                <c:pt idx="2">
                  <c:v>24132</c:v>
                </c:pt>
                <c:pt idx="3">
                  <c:v>69305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7-4C3D-BD0B-25941E379EDF}"/>
            </c:ext>
          </c:extLst>
        </c:ser>
        <c:ser>
          <c:idx val="1"/>
          <c:order val="1"/>
          <c:tx>
            <c:strRef>
              <c:f>'DASHBOARD 1'!$C$87:$C$88</c:f>
              <c:strCache>
                <c:ptCount val="2"/>
                <c:pt idx="0">
                  <c:v>REP1</c:v>
                </c:pt>
                <c:pt idx="1">
                  <c:v>ACT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1'!$C$89:$C$92</c:f>
              <c:numCache>
                <c:formatCode>_("$"* #,##0_);_("$"* \(#,##0\);_("$"* "-"??_);_(@_)</c:formatCode>
                <c:ptCount val="4"/>
                <c:pt idx="0">
                  <c:v>128554</c:v>
                </c:pt>
                <c:pt idx="1">
                  <c:v>38136</c:v>
                </c:pt>
                <c:pt idx="2">
                  <c:v>100822</c:v>
                </c:pt>
                <c:pt idx="3">
                  <c:v>115337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7-4C3D-BD0B-25941E379EDF}"/>
            </c:ext>
          </c:extLst>
        </c:ser>
        <c:ser>
          <c:idx val="2"/>
          <c:order val="2"/>
          <c:tx>
            <c:strRef>
              <c:f>'DASHBOARD 1'!$D$87:$D$88</c:f>
              <c:strCache>
                <c:ptCount val="2"/>
                <c:pt idx="0">
                  <c:v>REP2</c:v>
                </c:pt>
                <c:pt idx="1">
                  <c:v>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F7-4C3D-BD0B-25941E379E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1'!$D$89:$D$92</c:f>
              <c:numCache>
                <c:formatCode>_("$"* #,##0_);_("$"* \(#,##0\);_("$"* "-"??_);_(@_)</c:formatCode>
                <c:ptCount val="4"/>
                <c:pt idx="0">
                  <c:v>550156</c:v>
                </c:pt>
                <c:pt idx="1">
                  <c:v>569399</c:v>
                </c:pt>
                <c:pt idx="2">
                  <c:v>478834</c:v>
                </c:pt>
                <c:pt idx="3">
                  <c:v>464277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F7-4C3D-BD0B-25941E379EDF}"/>
            </c:ext>
          </c:extLst>
        </c:ser>
        <c:ser>
          <c:idx val="3"/>
          <c:order val="3"/>
          <c:tx>
            <c:strRef>
              <c:f>'DASHBOARD 1'!$E$87:$E$88</c:f>
              <c:strCache>
                <c:ptCount val="2"/>
                <c:pt idx="0">
                  <c:v>REP2</c:v>
                </c:pt>
                <c:pt idx="1">
                  <c:v>ACT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1'!$E$89:$E$92</c:f>
              <c:numCache>
                <c:formatCode>_("$"* #,##0_);_("$"* \(#,##0\);_("$"* "-"??_);_(@_)</c:formatCode>
                <c:ptCount val="4"/>
                <c:pt idx="0">
                  <c:v>570834</c:v>
                </c:pt>
                <c:pt idx="1">
                  <c:v>447324</c:v>
                </c:pt>
                <c:pt idx="2">
                  <c:v>437385</c:v>
                </c:pt>
                <c:pt idx="3">
                  <c:v>445048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F7-4C3D-BD0B-25941E379EDF}"/>
            </c:ext>
          </c:extLst>
        </c:ser>
        <c:ser>
          <c:idx val="4"/>
          <c:order val="4"/>
          <c:tx>
            <c:strRef>
              <c:f>'DASHBOARD 1'!$F$87:$F$88</c:f>
              <c:strCache>
                <c:ptCount val="2"/>
                <c:pt idx="0">
                  <c:v>REP3</c:v>
                </c:pt>
                <c:pt idx="1">
                  <c:v>EST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1'!$F$89:$F$92</c:f>
              <c:numCache>
                <c:formatCode>_("$"* #,##0_);_("$"* \(#,##0\);_("$"* "-"??_);_(@_)</c:formatCode>
                <c:ptCount val="4"/>
                <c:pt idx="0">
                  <c:v>179432</c:v>
                </c:pt>
                <c:pt idx="1">
                  <c:v>271904</c:v>
                </c:pt>
                <c:pt idx="2">
                  <c:v>180496</c:v>
                </c:pt>
                <c:pt idx="3">
                  <c:v>204328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F7-4C3D-BD0B-25941E379EDF}"/>
            </c:ext>
          </c:extLst>
        </c:ser>
        <c:ser>
          <c:idx val="5"/>
          <c:order val="5"/>
          <c:tx>
            <c:strRef>
              <c:f>'DASHBOARD 1'!$G$87:$G$88</c:f>
              <c:strCache>
                <c:ptCount val="2"/>
                <c:pt idx="0">
                  <c:v>REP3</c:v>
                </c:pt>
                <c:pt idx="1">
                  <c:v>ACT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1'!$G$89:$G$92</c:f>
              <c:numCache>
                <c:formatCode>_("$"* #,##0_);_("$"* \(#,##0\);_("$"* "-"??_);_(@_)</c:formatCode>
                <c:ptCount val="4"/>
                <c:pt idx="0">
                  <c:v>280368</c:v>
                </c:pt>
                <c:pt idx="1">
                  <c:v>229114</c:v>
                </c:pt>
                <c:pt idx="2">
                  <c:v>169257</c:v>
                </c:pt>
                <c:pt idx="3">
                  <c:v>311880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F7-4C3D-BD0B-25941E379EDF}"/>
            </c:ext>
          </c:extLst>
        </c:ser>
        <c:ser>
          <c:idx val="6"/>
          <c:order val="6"/>
          <c:tx>
            <c:strRef>
              <c:f>'DASHBOARD 1'!$H$87:$H$88</c:f>
              <c:strCache>
                <c:ptCount val="2"/>
                <c:pt idx="0">
                  <c:v>REP4</c:v>
                </c:pt>
                <c:pt idx="1">
                  <c:v>EST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1'!$H$89:$H$92</c:f>
              <c:numCache>
                <c:formatCode>_("$"* #,##0_);_("$"* \(#,##0\);_("$"* "-"??_);_(@_)</c:formatCode>
                <c:ptCount val="4"/>
                <c:pt idx="0">
                  <c:v>138175</c:v>
                </c:pt>
                <c:pt idx="1">
                  <c:v>102721</c:v>
                </c:pt>
                <c:pt idx="2">
                  <c:v>153279</c:v>
                </c:pt>
                <c:pt idx="3">
                  <c:v>111847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F7-4C3D-BD0B-25941E379EDF}"/>
            </c:ext>
          </c:extLst>
        </c:ser>
        <c:ser>
          <c:idx val="7"/>
          <c:order val="7"/>
          <c:tx>
            <c:strRef>
              <c:f>'DASHBOARD 1'!$I$87:$I$88</c:f>
              <c:strCache>
                <c:ptCount val="2"/>
                <c:pt idx="0">
                  <c:v>REP4</c:v>
                </c:pt>
                <c:pt idx="1">
                  <c:v>ACT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1'!$I$89:$I$92</c:f>
              <c:numCache>
                <c:formatCode>_("$"* #,##0_);_("$"* \(#,##0\);_("$"* "-"??_);_(@_)</c:formatCode>
                <c:ptCount val="4"/>
                <c:pt idx="0">
                  <c:v>166070</c:v>
                </c:pt>
                <c:pt idx="1">
                  <c:v>253563</c:v>
                </c:pt>
                <c:pt idx="2">
                  <c:v>212586</c:v>
                </c:pt>
                <c:pt idx="3">
                  <c:v>206970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F7-4C3D-BD0B-25941E379EDF}"/>
            </c:ext>
          </c:extLst>
        </c:ser>
        <c:ser>
          <c:idx val="8"/>
          <c:order val="8"/>
          <c:tx>
            <c:strRef>
              <c:f>'DASHBOARD 1'!$J$87:$J$88</c:f>
              <c:strCache>
                <c:ptCount val="2"/>
                <c:pt idx="0">
                  <c:v>REP5</c:v>
                </c:pt>
                <c:pt idx="1">
                  <c:v>EST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1'!$J$89:$J$92</c:f>
              <c:numCache>
                <c:formatCode>_("$"* #,##0_);_("$"* \(#,##0\);_("$"* "-"??_);_(@_)</c:formatCode>
                <c:ptCount val="4"/>
                <c:pt idx="0">
                  <c:v>359115</c:v>
                </c:pt>
                <c:pt idx="1">
                  <c:v>467489</c:v>
                </c:pt>
                <c:pt idx="2">
                  <c:v>353571</c:v>
                </c:pt>
                <c:pt idx="3">
                  <c:v>489945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F7-4C3D-BD0B-25941E379EDF}"/>
            </c:ext>
          </c:extLst>
        </c:ser>
        <c:ser>
          <c:idx val="9"/>
          <c:order val="9"/>
          <c:tx>
            <c:strRef>
              <c:f>'DASHBOARD 1'!$K$87:$K$88</c:f>
              <c:strCache>
                <c:ptCount val="2"/>
                <c:pt idx="0">
                  <c:v>REP5</c:v>
                </c:pt>
                <c:pt idx="1">
                  <c:v>ACT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1'!$A$89:$A$92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'DASHBOARD 1'!$K$89:$K$92</c:f>
              <c:numCache>
                <c:formatCode>_("$"* #,##0_);_("$"* \(#,##0\);_("$"* "-"??_);_(@_)</c:formatCode>
                <c:ptCount val="4"/>
                <c:pt idx="0">
                  <c:v>367289</c:v>
                </c:pt>
                <c:pt idx="1">
                  <c:v>462312</c:v>
                </c:pt>
                <c:pt idx="2">
                  <c:v>353487</c:v>
                </c:pt>
                <c:pt idx="3">
                  <c:v>524445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BF7-4C3D-BD0B-25941E379E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7903520"/>
        <c:axId val="352204800"/>
      </c:barChart>
      <c:catAx>
        <c:axId val="39790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52204800"/>
        <c:crosses val="autoZero"/>
        <c:auto val="1"/>
        <c:lblAlgn val="ctr"/>
        <c:lblOffset val="100"/>
        <c:noMultiLvlLbl val="0"/>
      </c:catAx>
      <c:valAx>
        <c:axId val="3522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9790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 Light" panose="020E0502030303020204" pitchFamily="34" charset="0"/>
                <a:ea typeface="+mn-ea"/>
                <a:cs typeface="+mn-cs"/>
              </a:defRPr>
            </a:pPr>
            <a:r>
              <a:rPr lang="fr-MC" sz="2800" b="1">
                <a:latin typeface="Candara Light" panose="020E0502030303020204" pitchFamily="34" charset="0"/>
              </a:rPr>
              <a:t>Regional</a:t>
            </a:r>
            <a:r>
              <a:rPr lang="fr-MC" sz="2800" b="1" baseline="0">
                <a:latin typeface="Candara Light" panose="020E0502030303020204" pitchFamily="34" charset="0"/>
              </a:rPr>
              <a:t> Actual</a:t>
            </a:r>
            <a:endParaRPr lang="fr-MC" sz="2800" b="1">
              <a:latin typeface="Candara Light" panose="020E0502030303020204" pitchFamily="34" charset="0"/>
            </a:endParaRPr>
          </a:p>
        </c:rich>
      </c:tx>
      <c:layout>
        <c:manualLayout>
          <c:xMode val="edge"/>
          <c:yMode val="edge"/>
          <c:x val="6.8316307712045166E-2"/>
          <c:y val="2.576265344429494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 Light" panose="020E0502030303020204" pitchFamily="34" charset="0"/>
              <a:ea typeface="+mn-ea"/>
              <a:cs typeface="+mn-cs"/>
            </a:defRPr>
          </a:pPr>
          <a:endParaRPr lang="hi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6604488392439323E-2"/>
          <c:y val="0.16387587428290343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3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EC-4810-984F-EABB27681AAD}"/>
              </c:ext>
            </c:extLst>
          </c:dPt>
          <c:dPt>
            <c:idx val="1"/>
            <c:bubble3D val="0"/>
            <c:spPr>
              <a:solidFill>
                <a:srgbClr val="336699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EC-4810-984F-EABB27681AAD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EC-4810-984F-EABB27681AA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9EC-4810-984F-EABB27681AAD}"/>
              </c:ext>
            </c:extLst>
          </c:dPt>
          <c:dPt>
            <c:idx val="4"/>
            <c:bubble3D val="0"/>
            <c:spPr>
              <a:solidFill>
                <a:schemeClr val="tx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EC-4810-984F-EABB27681AAD}"/>
              </c:ext>
            </c:extLst>
          </c:dPt>
          <c:cat>
            <c:strRef>
              <c:f>'DASHBOARD 1'!$G$150:$K$150</c:f>
              <c:strCache>
                <c:ptCount val="5"/>
                <c:pt idx="0">
                  <c:v>EAST</c:v>
                </c:pt>
                <c:pt idx="1">
                  <c:v>MIDWEST</c:v>
                </c:pt>
                <c:pt idx="2">
                  <c:v>MOUNTAIN</c:v>
                </c:pt>
                <c:pt idx="3">
                  <c:v>WEST</c:v>
                </c:pt>
                <c:pt idx="4">
                  <c:v>OUTSIDE U.S.</c:v>
                </c:pt>
              </c:strCache>
            </c:strRef>
          </c:cat>
          <c:val>
            <c:numRef>
              <c:f>'DASHBOARD 1'!$G$151:$K$151</c:f>
              <c:numCache>
                <c:formatCode>_("$"* #,##0_);_("$"* \(#,##0\);_("$"* "-"??_);_(@_)</c:formatCode>
                <c:ptCount val="5"/>
                <c:pt idx="0">
                  <c:v>790619</c:v>
                </c:pt>
                <c:pt idx="1">
                  <c:v>1406022</c:v>
                </c:pt>
                <c:pt idx="2">
                  <c:v>1739189</c:v>
                </c:pt>
                <c:pt idx="3">
                  <c:v>270120</c:v>
                </c:pt>
                <c:pt idx="4">
                  <c:v>307533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EC-4810-984F-EABB27681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800" b="0">
                <a:solidFill>
                  <a:schemeClr val="accent4">
                    <a:lumMod val="75000"/>
                  </a:schemeClr>
                </a:solidFill>
              </a:rPr>
              <a:t>PRODUCT STATISTICS</a:t>
            </a:r>
          </a:p>
        </c:rich>
      </c:tx>
      <c:layout>
        <c:manualLayout>
          <c:xMode val="edge"/>
          <c:yMode val="edge"/>
          <c:x val="0.39553727425862806"/>
          <c:y val="9.2425369905684875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'[1]EXAMPLE - Sales Dashboard'!$C$11:$C$12</c:f>
              <c:strCache>
                <c:ptCount val="1"/>
                <c:pt idx="0">
                  <c:v>1 EST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anchor="ctr" anchorCtr="1">
                  <a:no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bg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hi-IN"/>
                </a:p>
              </c:txPr>
              <c:dLblPos val="inBase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DB3-4E39-997C-613F45D952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Dashboard'!$C$13:$C$16</c:f>
              <c:numCache>
                <c:formatCode>General</c:formatCode>
                <c:ptCount val="4"/>
                <c:pt idx="0">
                  <c:v>236047</c:v>
                </c:pt>
                <c:pt idx="1">
                  <c:v>373060</c:v>
                </c:pt>
                <c:pt idx="2">
                  <c:v>224132</c:v>
                </c:pt>
                <c:pt idx="3">
                  <c:v>269305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3-4E39-997C-613F45D95291}"/>
            </c:ext>
          </c:extLst>
        </c:ser>
        <c:ser>
          <c:idx val="1"/>
          <c:order val="1"/>
          <c:tx>
            <c:strRef>
              <c:f>'[1]EXAMPLE - Sales Dashboard'!$D$11:$D$12</c:f>
              <c:strCache>
                <c:ptCount val="1"/>
                <c:pt idx="0">
                  <c:v>1 ACT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Dashboard'!$D$13:$D$16</c:f>
              <c:numCache>
                <c:formatCode>General</c:formatCode>
                <c:ptCount val="4"/>
                <c:pt idx="0">
                  <c:v>328554</c:v>
                </c:pt>
                <c:pt idx="1">
                  <c:v>238136</c:v>
                </c:pt>
                <c:pt idx="2">
                  <c:v>300822</c:v>
                </c:pt>
                <c:pt idx="3">
                  <c:v>315337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B3-4E39-997C-613F45D95291}"/>
            </c:ext>
          </c:extLst>
        </c:ser>
        <c:ser>
          <c:idx val="2"/>
          <c:order val="2"/>
          <c:tx>
            <c:strRef>
              <c:f>'[1]EXAMPLE - Sales Dashboard'!$E$11:$E$12</c:f>
              <c:strCache>
                <c:ptCount val="1"/>
                <c:pt idx="0">
                  <c:v>2 EST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Dashboard'!$E$13:$E$16</c:f>
              <c:numCache>
                <c:formatCode>General</c:formatCode>
                <c:ptCount val="4"/>
                <c:pt idx="0">
                  <c:v>350156</c:v>
                </c:pt>
                <c:pt idx="1">
                  <c:v>369399</c:v>
                </c:pt>
                <c:pt idx="2">
                  <c:v>278834</c:v>
                </c:pt>
                <c:pt idx="3">
                  <c:v>264277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B3-4E39-997C-613F45D95291}"/>
            </c:ext>
          </c:extLst>
        </c:ser>
        <c:ser>
          <c:idx val="3"/>
          <c:order val="3"/>
          <c:tx>
            <c:strRef>
              <c:f>'[1]EXAMPLE - Sales Dashboard'!$F$11:$F$12</c:f>
              <c:strCache>
                <c:ptCount val="1"/>
                <c:pt idx="0">
                  <c:v>2 ACT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Dashboard'!$F$13:$F$16</c:f>
              <c:numCache>
                <c:formatCode>General</c:formatCode>
                <c:ptCount val="4"/>
                <c:pt idx="0">
                  <c:v>370834</c:v>
                </c:pt>
                <c:pt idx="1">
                  <c:v>247324</c:v>
                </c:pt>
                <c:pt idx="2">
                  <c:v>237385</c:v>
                </c:pt>
                <c:pt idx="3">
                  <c:v>245048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B3-4E39-997C-613F45D95291}"/>
            </c:ext>
          </c:extLst>
        </c:ser>
        <c:ser>
          <c:idx val="4"/>
          <c:order val="4"/>
          <c:tx>
            <c:strRef>
              <c:f>'[1]EXAMPLE - Sales Dashboard'!$G$11:$G$12</c:f>
              <c:strCache>
                <c:ptCount val="1"/>
                <c:pt idx="0">
                  <c:v>3 EST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Dashboard'!$G$13:$G$16</c:f>
              <c:numCache>
                <c:formatCode>General</c:formatCode>
                <c:ptCount val="4"/>
                <c:pt idx="0">
                  <c:v>229432</c:v>
                </c:pt>
                <c:pt idx="1">
                  <c:v>321904</c:v>
                </c:pt>
                <c:pt idx="2">
                  <c:v>230496</c:v>
                </c:pt>
                <c:pt idx="3">
                  <c:v>254328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B3-4E39-997C-613F45D95291}"/>
            </c:ext>
          </c:extLst>
        </c:ser>
        <c:ser>
          <c:idx val="5"/>
          <c:order val="5"/>
          <c:tx>
            <c:strRef>
              <c:f>'[1]EXAMPLE - Sales Dashboard'!$H$11:$H$12</c:f>
              <c:strCache>
                <c:ptCount val="1"/>
                <c:pt idx="0">
                  <c:v>3 ACT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Dashboard'!$H$13:$H$16</c:f>
              <c:numCache>
                <c:formatCode>General</c:formatCode>
                <c:ptCount val="4"/>
                <c:pt idx="0">
                  <c:v>330368</c:v>
                </c:pt>
                <c:pt idx="1">
                  <c:v>279114</c:v>
                </c:pt>
                <c:pt idx="2">
                  <c:v>219257</c:v>
                </c:pt>
                <c:pt idx="3">
                  <c:v>361880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B3-4E39-997C-613F45D95291}"/>
            </c:ext>
          </c:extLst>
        </c:ser>
        <c:ser>
          <c:idx val="6"/>
          <c:order val="6"/>
          <c:tx>
            <c:strRef>
              <c:f>'[1]EXAMPLE - Sales Dashboard'!$I$11:$I$12</c:f>
              <c:strCache>
                <c:ptCount val="1"/>
                <c:pt idx="0">
                  <c:v>4 EST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Dashboard'!$I$13:$I$16</c:f>
              <c:numCache>
                <c:formatCode>General</c:formatCode>
                <c:ptCount val="4"/>
                <c:pt idx="0">
                  <c:v>238175</c:v>
                </c:pt>
                <c:pt idx="1">
                  <c:v>202721</c:v>
                </c:pt>
                <c:pt idx="2">
                  <c:v>253279</c:v>
                </c:pt>
                <c:pt idx="3">
                  <c:v>211847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B3-4E39-997C-613F45D95291}"/>
            </c:ext>
          </c:extLst>
        </c:ser>
        <c:ser>
          <c:idx val="7"/>
          <c:order val="7"/>
          <c:tx>
            <c:strRef>
              <c:f>'[1]EXAMPLE - Sales Dashboard'!$J$11:$J$12</c:f>
              <c:strCache>
                <c:ptCount val="1"/>
                <c:pt idx="0">
                  <c:v>4 ACT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Dashboard'!$J$13:$J$16</c:f>
              <c:numCache>
                <c:formatCode>General</c:formatCode>
                <c:ptCount val="4"/>
                <c:pt idx="0">
                  <c:v>266070</c:v>
                </c:pt>
                <c:pt idx="1">
                  <c:v>353563</c:v>
                </c:pt>
                <c:pt idx="2">
                  <c:v>312586</c:v>
                </c:pt>
                <c:pt idx="3">
                  <c:v>306970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B3-4E39-997C-613F45D95291}"/>
            </c:ext>
          </c:extLst>
        </c:ser>
        <c:ser>
          <c:idx val="8"/>
          <c:order val="8"/>
          <c:tx>
            <c:strRef>
              <c:f>'[1]EXAMPLE - Sales Dashboard'!$K$11:$K$12</c:f>
              <c:strCache>
                <c:ptCount val="1"/>
                <c:pt idx="0">
                  <c:v>5 EST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Dashboard'!$K$13:$K$16</c:f>
              <c:numCache>
                <c:formatCode>General</c:formatCode>
                <c:ptCount val="4"/>
                <c:pt idx="0">
                  <c:v>209115</c:v>
                </c:pt>
                <c:pt idx="1">
                  <c:v>317489</c:v>
                </c:pt>
                <c:pt idx="2">
                  <c:v>203571</c:v>
                </c:pt>
                <c:pt idx="3">
                  <c:v>339945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B3-4E39-997C-613F45D95291}"/>
            </c:ext>
          </c:extLst>
        </c:ser>
        <c:ser>
          <c:idx val="9"/>
          <c:order val="9"/>
          <c:tx>
            <c:strRef>
              <c:f>'[1]EXAMPLE - Sales Dashboard'!$L$11:$L$12</c:f>
              <c:strCache>
                <c:ptCount val="1"/>
                <c:pt idx="0">
                  <c:v>5 ACT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inBase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'[1]EXAMPLE - Sales Dashboard'!$B$13:$B$16</c:f>
              <c:strCache>
                <c:ptCount val="4"/>
                <c:pt idx="0">
                  <c:v>2028 Q1</c:v>
                </c:pt>
                <c:pt idx="1">
                  <c:v>2028 Q2</c:v>
                </c:pt>
                <c:pt idx="2">
                  <c:v>2028 Q3</c:v>
                </c:pt>
                <c:pt idx="3">
                  <c:v>2028 Q4</c:v>
                </c:pt>
              </c:strCache>
            </c:strRef>
          </c:cat>
          <c:val>
            <c:numRef>
              <c:f>'[1]EXAMPLE - Sales Dashboard'!$L$13:$L$16</c:f>
              <c:numCache>
                <c:formatCode>General</c:formatCode>
                <c:ptCount val="4"/>
                <c:pt idx="0">
                  <c:v>217289</c:v>
                </c:pt>
                <c:pt idx="1">
                  <c:v>312312</c:v>
                </c:pt>
                <c:pt idx="2">
                  <c:v>203487</c:v>
                </c:pt>
                <c:pt idx="3">
                  <c:v>374445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B3-4E39-997C-613F45D95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893152"/>
        <c:axId val="167893712"/>
      </c:barChart>
      <c:catAx>
        <c:axId val="1678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hi-IN"/>
          </a:p>
        </c:txPr>
        <c:crossAx val="167893712"/>
        <c:crosses val="autoZero"/>
        <c:auto val="1"/>
        <c:lblAlgn val="ctr"/>
        <c:lblOffset val="100"/>
        <c:noMultiLvlLbl val="0"/>
      </c:catAx>
      <c:valAx>
        <c:axId val="167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hi-IN"/>
          </a:p>
        </c:txPr>
        <c:crossAx val="1678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>
          <a:latin typeface="Century Gothic" panose="020B0502020202020204" pitchFamily="34" charset="0"/>
        </a:defRPr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is-IS" sz="24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 REVENUE: ESTIMATE vs. ACTUAL</a:t>
            </a:r>
            <a:endParaRPr lang="is-IS" sz="2400"/>
          </a:p>
        </c:rich>
      </c:tx>
      <c:layout>
        <c:manualLayout>
          <c:xMode val="edge"/>
          <c:yMode val="edge"/>
          <c:x val="0.13876504537750217"/>
          <c:y val="1.5492081548497186E-3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0.12290029822566458"/>
          <c:y val="0.14252833519963504"/>
          <c:w val="0.85711786707860427"/>
          <c:h val="0.72724907129272498"/>
        </c:manualLayout>
      </c:layout>
      <c:lineChart>
        <c:grouping val="standard"/>
        <c:varyColors val="0"/>
        <c:ser>
          <c:idx val="0"/>
          <c:order val="0"/>
          <c:tx>
            <c:strRef>
              <c:f>'[1]EXAMPLE - Sales Dashboard'!$B$79</c:f>
              <c:strCache>
                <c:ptCount val="1"/>
                <c:pt idx="0">
                  <c:v>2028</c:v>
                </c:pt>
              </c:strCache>
            </c:strRef>
          </c:tx>
          <c:spPr>
            <a:ln w="317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17"/>
            <c:spPr>
              <a:solidFill>
                <a:srgbClr val="92D050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tx1">
                    <a:lumMod val="50000"/>
                    <a:lumOff val="50000"/>
                  </a:schemeClr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34A-4ACD-A318-D02E35ED746A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0">
                  <a:solidFill>
                    <a:schemeClr val="bg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34A-4ACD-A318-D02E35ED746A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tx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34A-4ACD-A318-D02E35ED746A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tx2">
                    <a:lumMod val="20000"/>
                    <a:lumOff val="80000"/>
                  </a:schemeClr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34A-4ACD-A318-D02E35ED746A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tx2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34A-4ACD-A318-D02E35ED746A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chemeClr val="tx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34A-4ACD-A318-D02E35ED746A}"/>
              </c:ext>
            </c:extLst>
          </c:dPt>
          <c:dPt>
            <c:idx val="6"/>
            <c:marker>
              <c:symbol val="circle"/>
              <c:size val="17"/>
              <c:spPr>
                <a:solidFill>
                  <a:schemeClr val="tx1">
                    <a:lumMod val="50000"/>
                    <a:lumOff val="50000"/>
                  </a:schemeClr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34A-4ACD-A318-D02E35ED746A}"/>
              </c:ext>
            </c:extLst>
          </c:dPt>
          <c:dPt>
            <c:idx val="7"/>
            <c:marker>
              <c:symbol val="circle"/>
              <c:size val="17"/>
              <c:spPr>
                <a:solidFill>
                  <a:schemeClr val="tx2">
                    <a:lumMod val="20000"/>
                    <a:lumOff val="80000"/>
                  </a:schemeClr>
                </a:solidFill>
                <a:ln w="0"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34A-4ACD-A318-D02E35ED746A}"/>
              </c:ext>
            </c:extLst>
          </c:dPt>
          <c:dPt>
            <c:idx val="8"/>
            <c:marker>
              <c:symbol val="circle"/>
              <c:size val="17"/>
              <c:spPr>
                <a:solidFill>
                  <a:schemeClr val="tx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34A-4ACD-A318-D02E35ED746A}"/>
              </c:ext>
            </c:extLst>
          </c:dPt>
          <c:dPt>
            <c:idx val="9"/>
            <c:marker>
              <c:symbol val="circle"/>
              <c:size val="17"/>
              <c:spPr>
                <a:solidFill>
                  <a:schemeClr val="tx2">
                    <a:lumMod val="20000"/>
                    <a:lumOff val="80000"/>
                  </a:schemeClr>
                </a:solidFill>
                <a:ln w="0">
                  <a:solidFill>
                    <a:schemeClr val="tx2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34A-4ACD-A318-D02E35ED746A}"/>
              </c:ext>
            </c:extLst>
          </c:dPt>
          <c:dPt>
            <c:idx val="10"/>
            <c:marker>
              <c:symbol val="circle"/>
              <c:size val="17"/>
              <c:spPr>
                <a:solidFill>
                  <a:srgbClr val="FF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34A-4ACD-A318-D02E35ED746A}"/>
              </c:ext>
            </c:extLst>
          </c:dPt>
          <c:dLbls>
            <c:spPr>
              <a:solidFill>
                <a:schemeClr val="bg1">
                  <a:alpha val="54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hi-I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'[1]EXAMPLE - Sales Dashboard'!$C$77:$L$78</c:f>
              <c:multiLvlStrCache>
                <c:ptCount val="10"/>
                <c:lvl>
                  <c:pt idx="0">
                    <c:v>PROD1</c:v>
                  </c:pt>
                  <c:pt idx="1">
                    <c:v>PROD2</c:v>
                  </c:pt>
                  <c:pt idx="2">
                    <c:v>PROD3</c:v>
                  </c:pt>
                  <c:pt idx="3">
                    <c:v>PROD4</c:v>
                  </c:pt>
                  <c:pt idx="4">
                    <c:v>PROD5</c:v>
                  </c:pt>
                  <c:pt idx="5">
                    <c:v>PROD1</c:v>
                  </c:pt>
                  <c:pt idx="6">
                    <c:v>PROD2</c:v>
                  </c:pt>
                  <c:pt idx="7">
                    <c:v>PROD3</c:v>
                  </c:pt>
                  <c:pt idx="8">
                    <c:v>PROD4</c:v>
                  </c:pt>
                  <c:pt idx="9">
                    <c:v>PROD5</c:v>
                  </c:pt>
                </c:lvl>
                <c:lvl>
                  <c:pt idx="0">
                    <c:v>EST</c:v>
                  </c:pt>
                  <c:pt idx="5">
                    <c:v>ACT</c:v>
                  </c:pt>
                </c:lvl>
              </c:multiLvlStrCache>
            </c:multiLvlStrRef>
          </c:cat>
          <c:val>
            <c:numRef>
              <c:f>'[1]EXAMPLE - Sales Dashboard'!$C$79:$L$79</c:f>
              <c:numCache>
                <c:formatCode>General</c:formatCode>
                <c:ptCount val="10"/>
                <c:pt idx="0">
                  <c:v>1102544</c:v>
                </c:pt>
                <c:pt idx="1">
                  <c:v>1262666</c:v>
                </c:pt>
                <c:pt idx="2">
                  <c:v>1036160</c:v>
                </c:pt>
                <c:pt idx="3">
                  <c:v>906022</c:v>
                </c:pt>
                <c:pt idx="4">
                  <c:v>1070120</c:v>
                </c:pt>
                <c:pt idx="5">
                  <c:v>1182849</c:v>
                </c:pt>
                <c:pt idx="6">
                  <c:v>1100591</c:v>
                </c:pt>
                <c:pt idx="7">
                  <c:v>1190619</c:v>
                </c:pt>
                <c:pt idx="8">
                  <c:v>1239189</c:v>
                </c:pt>
                <c:pt idx="9">
                  <c:v>1107533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34A-4ACD-A318-D02E35ED7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482912"/>
        <c:axId val="252483472"/>
      </c:lineChart>
      <c:catAx>
        <c:axId val="2524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hi-IN"/>
          </a:p>
        </c:txPr>
        <c:crossAx val="252483472"/>
        <c:crosses val="autoZero"/>
        <c:auto val="1"/>
        <c:lblAlgn val="ctr"/>
        <c:lblOffset val="100"/>
        <c:noMultiLvlLbl val="0"/>
      </c:catAx>
      <c:valAx>
        <c:axId val="252483472"/>
        <c:scaling>
          <c:orientation val="minMax"/>
          <c:min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hi-IN"/>
          </a:p>
        </c:txPr>
        <c:crossAx val="252482912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entury Gothic" panose="020B0502020202020204" pitchFamily="34" charset="0"/>
        </a:defRPr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" name="AutoShape 1" descr="data:image/png;base64,iVBORw0KGgoAAAANSUhEUgAABAMAAAF6CAYAAABsq5GAAAAQAElEQVR4AezdD5xU1X3//w9iAouw7KCgsKhZ0H5NJInFGjVVfPD7gSS/ollqwTbpl2TRlgi0P4Hkp5Iipbb++SpqW8DSJtDQNCj+DERtHxr8lm/R/KJFibZg/CYCalxQkJ1lQRaMxN99Hznj3dmZ2ZndOzN3Zl48OHPvnHvuOec+772zcz5z585Jxj8EEEAAAQQQQAABBBBAAAEEEKh2gS7b54IBe9+++wMSBhwDHAMcAxwDHAMcAxwDHAMcAxwDHAMcAxwD1XQMZNuWe3a7YIDCAw1DrzISBhwDHAMcAxwDHAMcAxwDHAMcAxwDHAMcAxwDFXwM5DG2N/vgE6lggAICJAQQQAABBBBAAAEEEEAAAQQQqCyB3vSWYEBv1FgHAQQQQAABBBBAAAEEEEAAgfIJ9LllggF9JqQCBBBAAAEEEEAAAQQQQAABBIotEG39BAOi9aQ2BBBAAAEEEEAAAQQQQAABBKIRKGItBAOKiEvVCCCAAAIIIIAAAggggAACCBQiUKqyBANKJU07CCCAAAIIIIAAAggggAACCHQXKEsOwYCysNMoAggggAACCCCAAAIIIIBA7QqUf8sJBpR/H9ADBBBAAAEEEEAAAQQQQACBaheI2fYRDIjZDqE7CCCAAAIIIIAAAggggAAC1SEQ560gGBDnvUPfEEAAAQQQQAABBBBAAAEEKkmgYvpKMKBidhUdRQABBBBAAAEEEEAAAQQQiJ9AZfaIYEBl7jd6jQACCCCAAAIIIIAAAgggUC6BKmiXYEAV7EQ2AQEEEEAAAQQQQAABBBBAoLgC1VY7wYBq26NsDwIIIIAAAggggAACCCCAQBQCVV0HwYCq3r1sHAIIIIAAAh8JrFr1iM1qWWrbXnjlo8wizSWTHfbNb9zvkuaL1AzVIoAAAgggELFA7VRHMKB29jVbigACCCBQBoHHHt3iBuAahPeU7rh9jXV2HitDL2kSAQQQQACBGhao0U0nGFCjO57NRgABBBBAAAEEEEAAAQRqVYDtNiMYwFGAAAIIIIBAEQWuunqCrV6zJJVWrLzZzj33LBs0aKAtXnx9Kl9lblnUYnV1A4rYG6pGAAEEEECgZgXY8DQBggFpIDxFAAEEEEAAAQQQQAABBBCoBgG2IZcAwYBcOixDAAEEEEAAAQQQQAABBBCoHAF6mrcAwYC8qSiIAAIIIIAAAggggAACCCAQNwH60zsBggG9c2MtBBBAAAEESibwwQcf2Kuv/tJWrFhvf/ond6d+nUDzytMylcnUIf2MoP8Vg+ee3e6KLF/+UKoO/dqBy0x7+PWvf20/3faK3XP3P9kNX789VV5t/v3f/8B272o1tanpvLl3WSG/hHDkyFH73j/9q6v3ull/YX/2rZW2fftOV19aN3iKAAIIIIBAJgHyIhAgGBABIlUggAACCCBQLIH29kP2N3+9zg22X3j+Z3b48JFUU5pX3u1/tdr++v51prKphX2Y2bNnv91227ftb//2IXv55V127NivUrWpzWd/8l/2l3/5HfvHNY/Ze796P7Usnxmtf++yf7Z/+7etrl4FFNTefff+s/3gB/9m779/PJ9qKIMAAgggUHMCbHDUAgQDohalPgQQQAABBCISeOeddvfJ/Esv/cIGnTLQfvd3/w9bdu98+87qW13SvPJOGVxn//mfv3BltU64+fEXnpf6xYKLLxnnFs2bd20qT7924DJPPOza9abdded37fXX9lp9/Sn232f+jv3133zDlVe7vs1BQX+efvqntva7jwcD+PwDAv/fj18ytTF8eMKWLPlj+/Z3Ftuib82yYcPq7V//5cf2P5/6jxM9YYIAAgggUPMCABRVgGBAUXmpHAEEEEAAgd4JvPfer+yf1v6L6VPzc845M/ik/gabetXllkjUW79+/VzSvPL+/M9nm8qo7Orv/NA6O4/1qtG2toP27X/YaIcOvWufu3ic3XnXn9rEib9lQ4ac4urr16+fa19t3nnnn9gnP9lke/e+Y++9l38wYPdre1xdv/d7/6ed/YmRdtJJJ7m+33Tz1+yyyy6wCRN+0y3nAQEEEECgNgXY6tIJEAwonTUtIYAAAgggkLfASy/+3F2if/rpw+yPZ/+uNTQMybruqacOdWVU9n//79ftpz99JWvZXAs2b37e3nrrgP23/3a2fXXm79jAgR/PWvyUU+rshjm/5wb0WQvlWHCk82iXpaed1mAts662ukEDu+TzBAEEEECg6gXYwDIJEAwoEzzNIoAAAgggkE3g+PFf27PP/pdp+oUvft40UM5W1uerjMrqO/i6j4DW9cvymb57uNN0E7/+/U+yL3zxt/MalA8ePMgmT77YXaWQTxsq8+lPn+PK/78P/0976aWfc9NAoZAQQACBmhNgg+MgQDAgDnuBPiCAAAIIIBASOHKk095+u81dnj927JmhJblnVVaX9Gtd1ZG7dNelyfZD1nagw04//VQbM2ZU14U5np1zzlnu3gI5inRZ9LnPjXNfB9AvCvzNXz9od/+PtfbG63sJCnRR4gkCCCBQhQJsUuwETopdj+gQAggggAACNS6gO+ofO/aeffzjJ9spp+R/2bzKah2tqzoKYfzVe7+y48ePB+3V2cknn5z3qh/7WP+gfP+8y598cn/76tem2nXXf8ndFPGVV16zpUv/wZYvX2/vvtuZdz0URAABBBCIvwA9jLcAwYB47x96hwACCCBQgwIaMA8Y8HF3Y7533z2at4DK6mZ+Wld15L1iUPBjH/+Y9e/f3w3I338//xsC/upXx+39An8O8KSTTrLPf/6zdvfdN9qMGZNdUOCn216xu+78R9NNDIPu8B8BBBBAoDIF6HUFCRAMqKCdRVcRQAABBGpDYNCgOjv99GF2+PARe+ONvXlvtMpqHa2rOvJeMSiYaBhiw06tt7ffPmC7dn14x/8gu8f/r776hnV0vNtjuUwFBg78uH3hi583/TLBb/zG2fbmm/tMNzHMVJY8BBBAAIG4CtCvShU4qVI7Tr8RQAABBBCoVoH+/U+yC3/rk27z/vVffmwHDx5287keVEZlVUbrqg7N55tOGVxn48aNNd148F8ef9o6j/R8RYICD5s2Pdfn7/ufckqd/c7Uy0x9fv21vaafVcy335RDAAEEECiDAE1WhQDBgKrYjWwEAggggEC1Cfzmb57nfuJvz5799verfuAu38+2jfquvcqorH4WUOtmK5srf+LE37IzzjjVXn31l/YP/7ChxzZXf+eHpsF7rjrDy/R1ggcf/JH9/Oevh7PdvIIZv/71B+5XDD72sZNdHg8IIIAAAvERoCfVJ0AwoPr2KVuEAAIIIFAFAnV1A2zWdV9yXxf42c922803/61t+tGzlkx2uE/i9ROCmleelqmMvh6gdbRubwiGDRtq1/9Rs/sVgxdf/HnWNh9/7Gm3TGX06wX6RD+f9hRk+F+bt5p+ReCZZ1509xpQgEDzD6570lXx2c+e63560D3hAQEEEECgnAK0XeUCBAOqfAezeQgggAAClStw2mkNdtPNX3NXCLx7uNPWBQPmhQvus+tm/YVLmleelumKAJXVOn3Z4jFjRgdtftXOPPN0U72qX+2E2/zBD/7Njrx71C659NM2++u/a7phYT5tqo9XX32FHT36numqgj/+o780Jc3rpwY///nPmH56MJ+6KIMAAgggUAwB6qwlAYIBtbS32VYEEEAAgYoTaGgYYt/8f2bazbd8zd1HoG7QRz81qHndH0DLVEZlo9jAUaOG25I//2P7kz+51j71qTHBYP9jrtp+/fpZIlFvl1/+m7b0L75uf/RH06xu4AC3LJ+Hfv362Rf/r99223LOOWeavg7Qr18/UwDjq1+bal/92lUF/UxhPm1SBgEEEECgBwEW16wAwYCa3fVsOAIIIIBAOQR0Cf8ti1ps+YqbrGlMY15dOOmkk0x32587d4atCNZbvWaJKWleeVqmMj1VNnv2NW698Ree11NRU32/Of48+8Y3/7s98HeL3HrfWX2rLbt3vrXMutpGjx7hLufXNmhbtE3aNl+xggZ333OjKWne5/fr188UCFj0rVm26u+/Zarzf9z9f9sVV1xIIMAjMUUAAQSKLED1CEiAYIAUSAgggAACCCCAAAIIIIBA9QqwZQh0EyAY0I2EDAQQQAABBBBAAAEEEECg0gXoPwK5BQgG5PZhKQIIIIAAAggggAACCCBQGQL0EoECBAgGFIBFUQQQQAABBBBAAAEEEEAgTgL0BYHeChAM6K0c6yGAAAIIIIAAAggggAACpRegRQQiESAYEAkjlSCAAAIIIIAAAggggAACxRKgXgSiFyAYEL0pNSKAAAIIIIAAAggggAACfRNgbQSKLEAwoMjAVI8AAggggAACCCCAAAII5CNAGQRKKUAwoJTatIUAAggggAACCCCAAAIIfCTAHAJlEyAYUDZ6GkYAAQQQQAABBBBAAIHaE2CLEYiHAMGAeOwHeoEAAggggAACCCCAAALVKsB2IRBDAYIBMdwpdAkBBBBAAAEEEEAAAQQqW4DeIxB3AYIBcd9D9A8BBBBAAAEEEEAAAQQqQYA+IlBRAgQDKmp30VkEEEAAAQQQQAABBBCIjwA9QaByBQgGVO6+o+cIIIAAAggggAACCCBQagHaQ6BKBAgGVMmOZDMQQAABBBBAAAEEEECgOALUikA1ChAMqMa9yjYhgAACCCCAAAIIIIBAXwRYF4GqFyhKMOCxR7fYthdeqXo8NhABBBBAAAEEEEAAAQSqRYDtQKC2BCINBnR2HrM7bl9jGzZstuXLH+oSEEgmO+yb37jfZrUsdSkcLFDwwOevWvVI1j2QrZxv19cRrlvzPl99U9lMDeQql63dTPWQhwACCCCAAAIIIIAAAhUiQDcRqGGBSIMBT216zsaNG2vTpk20665vtq3P7zAFATQA/+4/Pm5z5ky31WuW2IqVN9uWLdts965WFzDYvn2ny9My7QsNvjUNJw3Ws5Vbu/Zx167WX3bvfNu4cbOrW/VrXnlapr6pbLhezecql6tdrUtCAAEEEEAAAQQQQACByhGgpwgg8KFApMEAVdnYOEITqxs4wGbPvsYSiXqrqxtgw4bVu3w9HD16zBQgaEgMcQGDKVMudWW0bMaMybZn7363XM99UmAhU7m9e9+xtgMddtnlF7iiiaC95uaJpsCB0kUXne/6oIWTJl+siQtQuJkTD7nKZWtX/T+xOhMEEEAAAQQQQAABBBCIrwA9QwCBDAKRBgM0IF+37gnbunVHt6amB4P8Bx/8kfuKwO1/tdq+fsM1NjAIGKhg05hRmrjk8xQwcBnBgx94Zyq3b1+bNTYOTw34g+LB/BA34NdVCboaQHlKCkooSNGePKSnqZSt3NtvHXBlMrUb7p8rxAMCCCCAAAIIIIAAAgjERIBuIIBATwKRBgP0qfzd99xojaNHdLlngAbz99/3fdMn+7pcf9G3Ztl99/6zvf7anm79yzZgTy/oXIBynwAAEABJREFUyx0+dCR9kTUkhljn0WP2/vHj3ZYlEvVBoKBrMKBboSBD5drbDwdzXf/7dtMDCl1L8QwBBBBAAAEEEEAAAQRKKkBjCCBQkECkwQDf8qiRw23evGvdVwD0/f+39r7jPr0ff+F5rogG2rqU/+WXd7vn4QcFDjSQbwgG9OH89HlfbvCQQemLTAN1XQFwcv/+3ZbpKoBED3VrJZVraBis2S7Jt9tT/7qslPbkYLvZG6/3I2HAMcAxwDHAMcAxwDHAMcAxwDHQh2OA99SMKWr5GNC4Mm2oWdDTogQDfA/0/f+jx95zn8Qngk/kfb6ffuxjJ7vZ3bs+ukLAX37vvy6gAvo0XtNM5UaMGGatrfuDNjpUxKVk8pCpPSXdD8BlBg/ZBvLZyp1+xqnBWmaZ2g33zxUq4GFog9lZZ39AwoBjgGOAY4BjgGOAY4BjgGOAY6CwYwAvvDgGThwDQ4NxZQHD0G5FIwsGJJMdduviB4KBc2uqkWeeftHa2g6avnOv+wjorv1aqLK6y7++z3/l5EvcLwtooK5l69dvMl1ZoACAyunnADXNVm7kyNPcLwmoLa2vsr5u3cNAwQDlaZl+7UBTDf419SlXuWztqn9+faYIIIAAAggggAACCCBQLAHqRQCBYgicFFWlGmDPX/AVW7nyYduwYbO7Z4AG4jNnTnWf0re0XG3Lln3P3UBw4YL7rLl5YhAkaHRp7NjRNnfOnW6Z+nPV1RM0CQILe9xAX3U3jWm0bOX0KwFqa1bLUgvXrfV0nwLlaZnKqD+qXIGJeXPvcj9tmKtcrnZVDwkBBBBAAAEEEEAAAQQiFqA6BBAoukBkwQD1VINq3UBw2rSJ7p4BtyxqSf1koAbVy1fcZLqBoJK/f4DW0+BfeUr6OULlKe3c9WbqJwP1PFs5fUqvtrS+UrhuzStPSWVUVnX5/mi5nmuqMkrhclqWrV0tIyGAAAIIIIAAAggggEDfBagBAQRKKxBpMCDqrk+fPsldVRB1vdSHAAIIIIAAAggggAACZRegAwggUEaBogQD9Em6Pmkv43bRNAIIIIAAAggggAACCMROgA4hgEBcBIoSDIjLxtEPBBBAAAEEEEAAAQQQKLMAzSOAQCwFCAbEcrfQKQQQQAABBBBAAAEEKleAniOAQPwFCAbEfx/RQwQQQAABBBBAAAEE4i5A/xBAoMIECAZU2A6juwgggAACCCCAAAIIxEOAXiCAQCULEAyo5L1H3xFAAAEEEEAAAQQQKKUAbSGAQNUIEAyoml3JhiCAAAIIIIAAAgggEL0ANSKAQHUKEAyozv3KViGAAAIIIIAAAggg0FsB1kMAgRoQIBhQAzuZTUQAAQQQQAABBBBAILcASxFAoNYECAbU2h5nexFAoOIFOm75ssU5VTwwG4AAAgjUigDbiQACNS1AMKCmdz8bjwACCCCAAAIIIFBLAmwrAggg4AUIBngJpggggAACCCCAAAIIVJ8AW4QAAghkFCAYkJGFTAQQQAABBBBAAAEEKlWAfiOAAAI9CxAM6NmIEggggAACCCCAAAIIxFuA3iGAAAIFChAMKBCM4ggggAACCCCAAAIIxEGAPiCAAAJ9ESAY0Bc91kUAAQQQQAABBBBAoHQCtIQAAghEJkAwIDJKKkIAAQQQQAABBBBAIGoB6kMAAQSKI0AwoDiu1IoAAggggAACCCCAQO8EWAsBBBAogUBRggGPPbrFtr3wSgm6TxMIIIAAAggggAACCFS+AFuAAAIIlFog0mBAZ+cxu+P2NbZhw2ZbvvyhVEDA589qWWrhpKCBNlhTn79q1SPKypiylUuvPxyI0LyvW31T2UyV5yqXrd1M9ZCHAAIIIIAAAggggEAeAhRBAAEEyioQaTDgqU3P2bhxY23atIl23fXNtvX5HZZMdlhd3QC7ZVGLrV6zxKXFi6+3z3zmXJs0+WIXMNi+faetWHmzWyYNDb41DScN1rOVW7v2cdeu6l9273zbuHGz7d7V6pLmladl6pvKhuvVvMpmK5erXa1LQgABBBBAAAEEEEAgPwFKIYAAAvERiDQYoM1qbByhidUNHGCzZ19jiUS9ex5++NGmZ23ChPGmIIECBlOmXOrmVWbGjMm2Z+9+S/8EP1u5vXvfsbYDHXbZ5Rdodddec/NEU+BA6aKLznd5Wqjgg6YKUGjqU65y2dpN75+viykCCCCAAAIIIIAAAikBZhBAAIGYCkQaDNCAfN26J2zr1h1ZN1efwnceOWaf/FRTasDfNGZUqvzAIIigJ0ePHtPEJT/wzlRu3742a2wcnhrwa4VEYoi7IkGDfl0NoDwlBR8UpGhPHtLTVMpW7u23DrgymdoN988V4gEBBBBAAAEEEEAAATMDAQEEEKgEgUiDAboK4O57brTG0SO63DMgDBG+KiCc7+ezDdj9cj/15Q4fOuKzUtOGIBjQGQQT3j9+PJXnZxKJ+iBQ0DUY4JeFpyrX3n44nOXmfbvpAQW3kAcEEEAAAQQQQACBWhRgmxFAAIGKE4g0GOC3ftTI4TZv3rXungHh7/+HrwrwZdOnugpAA/mGYECfviz83JcbPGRQONvNa6CuKwBO7t/fPQ8/6CoAXTkQzss0r3INDYO7LfLt9tS/biuGMg62m73xej8SBhwDHAO9OgZCLyexnK3V17czvn/c4pxqdb+w3bzfKN4xgC22HAMcA+U9Bg4G48q+vBksSjDAd0jf/z967D3/1NKvCtCn7Fq4e9ceTVzyl9/7rwsoM1e5ESOGWWvr/uDT/g4VdSmZPOS+NpBI1Lt7B7jM4CHbQD5budPPODVYy6yn/rlCBTwMbTA76+wPSBhwDHAM9OoYKODlpixFa/X1rSzYBTRaq/uF7eb9RqTHAH+3evV3i33AecgxUJxjYGgwrizgrUC3opEFA5LJDrt18QPBwLk11cgzT79obW0H3fNsVwVcOfkS27JlW+r+AevXbzJdWaAAgOrUzwFqmq3cyJGnuV8SUFtqSGX1ywC6V4DuYaCbAypPy/RrB5pq8K+pT7nKZWtX/fPrM0UAAQQQQAABBBCoTgG2CgEEEKhWgZOi2jANsOcv+IqtXPmwbdiw2d0zQAPxmTOnuibSrwpwmcFD05hGGzt2tM2dc6fNalka5JhddfUEN9Un8hrUq+5c5fQrAWpL6y9ccJ81N080ldd6+qUC5WmZyvj+KDgxb+5d7qcNc5VTPdn65zrJAwIIIIAAAggggEA1CbAtCCCAQE0IRBYMkJYG1bqB4LRpE909A25Z1JL6yUD9zOD4C89TsW5Jg//Va5aYksr5Ajt3vZn6yUDlZSunT+nVltZXCrejeeUpqYzKqi4N8pevuMm0XM81VRmlcDkty9aulpEQQAABBBBAAAEEKl2A/iOAAAK1JxBpMCBqvunTJ7nv/kddL/UhgAACCCCAAAII1LgAm48AAgjUuEBRggH6JF2ftNe4LZuPAAIIIIAAAgggECMBuoIAAggg8JFAUYIBH1XPHAIIIIAAAggggAACZROgYQQQQACBLAIEA7LAkI0AAggggAACCCBQiQL0GQEEEEAgHwGCAfkoUQYBBBBAAAEEEEAgvgL0DAEEEECgYAGCAQWTsQICCCCAAAIIIIBAuQVoHwEEEECgbwIEA/rmx9oIIIAAAggggAACpRGgFQQQQACBCAUIBkSISVUIIIAAAggggAACUQpQFwIIIIBAsQQIBhRLlnoRQAABBBBAAAEEChdgDQQQQACBkggQDCgJM40ggAACCCCAAAIIZBMgHwEEEECg9AIEA0pvTosIIIAAAggggECtC7D9CCCAAAJlFiAYUOYdQPMIIIAAAggggEBtCLCVCCCAAAJxEiAYEKe9QV8QQAABBBBAAIFqEmBbEEAAAQRiK0AwILa7ho4hgAACCCCAAAKVJ0CPEUAAAQQqQ4BgQGXsJ3qJAAIIIIAAAgjEVYB+IYAAAghUoADBgArcaXQZAQQQQAABBBAorwCtI4AAAghUugDBgErfg/QfAQQQQAABBBAohQBtIIAAAghUlQDBgKranWwMAggggAACCCAQnQA1IYAAAghUr0BRggGPPbrFtr3wSvWqsWUIIIAAAggggEBIoOOWL1ucU6irPc2yHAEEEECgRgQiDQZ0dh6zO25fYxs2bLblyx/KGhBIDxbo+ayWpaa0atUjWemzlfPtan2lcCBC88pTUt9UNlMDucplazdTPeQhgAACCCCAAAKVJUBvEUAAAQRqUSDSYMBTm56zcePG2rRpE+2665tt6/M7LJns6OK6e1er7dz5pn3yU00uX4Pw7dt32oqVN9vqNUtcngbfbib0kKvc2rWPu3a1/rJ759vGjZtN7ShpXnlapr6pbKhaN5urXK523co8IIAAAggggAAClSZAfxFAAAEEal4g0mCANBsbR2hidQMH2OzZ11giUe+e60Gfyv/wh/9uX/rSFVZXN0BZLmAwZcqlqeczZky2PXv3m8q6AiceFFjIVG7v3nes7UCHXXb5Ba6k2mtunmgKMChddNH5qT5MmnyxK5MeoMhVLlu76f1zFfOAAAIIIIAAAgjEVIBuIYAAAgggEBaINBigAfm6dU/Y1q07wm2k5nXlwNixo61pTKPL8wPqpjGj3HM9DAyCCJoePXpME5dyldu3r80aG4enBvxaIZEY4q5I0KBfVwMoT0kBCAUp2pOH9DSVspV7+60DrkxP/XOFeEAAAQQQQAABBOIlQG8QQAABBBDIKhBpMECfyt99z43WOHpEt3sG6FL8J5/8ibufgL6/r8vvM/Uq24A9vawvd/jQkfRF1hAEAzqDYML7x493W5ZI1AeBgq7BgG6FggyVa28/HMx1/e/bTQ8odC3FMwQQQAABBBBAoBwCtIkAAggggEB+ApEGA3yTo0YOt3nzrnVfAfDf/3/66Z/awoV/6O4LoPsDKDDw0os/96ukproKQAP5hmBAn8rMMOPLDR4yqNtSDdR1BcDJ/ft3W6arAHTlQLcFaRkq19AwOC3X3NcX8ulftxVDGQfbzd54vR8JA44BjoFeHQOhl5NYztbq61ssd0aoU7W6X0q13SHq0s/m0WKpHGiH93ccAxwDHAOlOwY0rszjT0DWIkUJBvjW9P3/o8fe6zaA1qfr+v7//v1JV3T3rj1uqgf/9QD/dQHlqbymmcqNGDHMWlv3B5/2f3SjwmTykPvaQCJR7+4doHWVfAChIS3QkMhS7vQzTtVqlqndcP9coQIehjaYnXX2ByQMOAY4Bnp1DBTwclOWorX6+lYW7AIardX9UqrtLmBXRFK00EpK5UA7vL/jGOAY4Bgo3TEwNBhXFvr3IFw+smBAMtlhty5+IBg4t6bqf+bpF62t7WDq5oB6roUalG/Zss39AsCVky8xzStPy9av32S6skABANWpnwPUNFu5kSNPc/X4ulV248bNLk/3MNDNAZWnunXPAk01+NfUp1zlsrWr/vn1mSKAAAIIIIAAAkUWoHoEEEAAAeuTpHQAABAASURBVAQiFTgpqto0wJ6/4Cu2cuXD7r4Ay5c/5D6VnzlzqmtCUw3Mdb+AuXPutAkTxrsbCTaNaTTdVFB5WqbCV109QZMgsLDHDepVd65y+pUAX/fCBfdZc/NEV7fW0xUIylPdKqN+qHLdw2De3LtM9y7IVS5Xu6qHhAACCCCAAAIIFEeAWhFAAAEEECieQGTBAHVRg2rdQHDatInungG3LGpJXRWgT9L1fPWaJe6+AeMvPE+ruKTBv8/XzxG6zOBh5643Uz8ZGDy1bOVy1a12fN1qX2VVlwb5y1fcZFqu55pmKqdl2drVMhICCCCAAAIIIBCZABUhgAACCCBQIoFIgwFR93n69Enuu/9R10t9CCCAAAIIIIBAXAToBwIIIIAAAuUQKEowQJ+k65P2cmwQbSKAAAIIIIAAAjEXoHsIIIAAAgiUXaAowYCybxUdQAABBBBAAAEEYiVAZxBAAAEEEIiXAMGAeO0PeoMAAggggAAC1SLAdiCAAAIIIBBjAYIBMd45dA0BBBBAAAEEKkuA3iKAAAIIIFApAgQDKmVP0U8EEEAAAQQQiKMAfUIAAQQQQKAiBQgGVORuo9MIIIAAAgggUD4BWkYAAQQQQKDyBQgGVP4+ZAsQQAABBBBAoNgC1I8AAggggECVCRAMqLIdyuYggAACCCCAQDQC1IIAAggggEA1CxAMqOa9y7YhgAACCCCAQCEClEUAAQQQQKBmBAgG1MyuZkMRQAABBBBAoLsAOQgggAACCNSmAMGA2tzvbDUCCCCAAAK1K8CWI4AAAggggIARDOAgQAABBBBAAIGqF2ADa1PgjO8ftzin2twrbDUCCMRFgGBAXPYE/UAAAQQQQACBKAWoCwEEEEAAAQRyCBAMyIHDIgQQQAABBBCoJAH6igACCCCAAAL5ChAMyFeKcggggAACCCAQPwF6hAACCCCAAAK9EiAY0Cs2VkIAAQQQQACBcgnQLgIIIIAAAgj0XYBgQN8NqQEBBBBAAAEEiitA7QgggAACCCAQsQDBgIhBqQ4BBBBAAAEEohCgDgQQQAABBBAopkBRggGPPbrFtr3wSjH7Td0IIIAAAgggUG0CbA8CCCCAAAIIlEwg0mBAZ+cxu+P2NbZhw2ZbvvyhbgEBBQlmtSw1pXlz77Ldu1rdhobzV616xOVleshWzrerepXCgQjNK09JfVPZTHXnKpet3Uz1kIcAAggggAAC+QtQEgEEEEAAAQTKIxBpMOCpTc/ZuHFjbdq0iXbd9c229fkdlkx2pLZsz979Nm/etbZ6zRJbvuImaxrT6AIG27fvtBUrb3b5KqzBt6bhpMF6tnJr1z7u2lW9y+6dbxs3bnaBBgUbNK88LVPfVDZcr+ZzlcvVrtYlIYAAAggggEBBAhRGAAEEEEAAgRgIRBoM0PY0No7QxOoGDrDZs6+xRKLePVdQoO1ARxAAGOWe+wcFDKZMudTq6ga4rBkzJpuCBumf4Gcrt3fvO6Z6L7v8Are+2mtunmgKHChddNH5qT5MmnyxK6O+uJkTD7nKZWs3vX8nqmKCAAIIIIAAAt0EyEAAAQQQQACBuAlEGgzQgHzduids69Yd3bazPXnIWlv32cIF97mvCegTdz+gbhrzUYBgYBBE0MpHjx7TxKVc5fbta7PGxuGpAb9WSCSGuCsSNOjX1QDKU1LAQUEK9UXPfcpW7u23DrgiPfXPFeIBAQQQQAABBD4SYA4BBBBAAAEEYi0QaTBAn8rffc+N1jh6hKXfM6BpTKPpqwG6XF+X7evy/ddf29MNJ9uAPb2gL3f40JH0RdYQBAM6g2DC+8ePd1uWSNQHgYJD3fLTM1Suvf1wera7giFTQKFbQTIQQAABBBCoMQE2FwEEEEAAAQQqRyDSYIDf7FEjh7t7A+gS+0zf/9dAW5fyv/zybr9KaqqrADSQbwgG9KnMDDO+3OAhg7ot1Sf/GrCf3L9/t2W6CkBXDnRbkJahcg0Ng9NyzXy7PfWv24qhjIPtZm+83o+EAccAx0CvjoHQy0ksZ2v19S2WOyPUqSLtl14dw9XYlxB1LGer0TyfbYrlzgh1Kp9toAzvmTkGOAayHQMaV4ZeUgqeLUowwPdC3/8/euw9dzO/++/7vhtI+2X6ysAnPvHh1wN27/roCgH/9QD/dQGV11UAmmYqN2LEMGtt3R982v/RjQqTyUPuawOJRL27d4DWVco2kM9W7vQzTtVqQf9z988VKuBhaIPZWWd/QMKAY4BjoFfHQAEvN2UpWquvb2XBLqDR6PYLf78yWRawK8pSNFOfayGvLNgFNFoL+4Bt5DWTY6B4x8DQYFxZwEtOt6KRBQOSyQ67dfEDwcD5w58LVEvPPP2itbUdNH1FoG7QAPvZiSsBdPd+3Vegacwou3LyJbZly7ZUoGD9+k2mKwsUAFCd+jlATbOVGznyNPdLAmpLbaqsvoKgewXoHga6OaDytEy/dqCpBv+a+pSrXLZ21T+/PlMEEEAAAQSqWoCNQwABBBBAAIGqEzgpqi3SAHv+gq/YypUP24YNm033DNBAfObMqa4JXSWgmwvOallqy5Z9z1parnaf3jeNabSxY0fb3Dl3uhsLqvBVV0/QJAgs7HEDfdWdq5x+JUBtqW7doLC5eaILQGg9/VKB8rRMZXx/FJCYN/cu99OGucrlatd1kgcEEEAAAQSqUIBNQgABBBBAAIHqFogsGCAmDap1A8Fp0ya6ewbcsqjF3XAvvEw3ENSNBDXIVr6SBv/KV9LPESpPaeeuN02f2mteKVs5fUqvtrS+0vgLz1NxlzSvPCWVUVktUPvqh5bruaYqoxQup2XZ2tUyEgIIIIAAAlUiwGYggAACCCCAQA0JRBoMiNpt+vRJ7uqBqOulPgQQQAABBBCQAAkBBBBAAAEEalWgKMEAfZKuT9prFZXtRgABBBBAILYCdAwBBBBAAAEEEAgEihIMCOrlPwIIIIAAAgjERIBuIIAAAggggAAC6QIEA9JFeI4AAggggEDlC7AFCCCAAAIIIIBATgGCATl5WIgAAggggEClCNBPBBBAAAEEEEAgfwGCAflbURIBBBBAAIF4CdAbBBBAAAEEEECglwIEA3oJx2oIIIAAAgiUQ4A2EUAAAQQQQACBKAQIBkShSB0IIIAAAggUT4CaEUAAAQQQQACByAUIBkROSoUIIIAAAgj0VYD1EUAAAQQQQACB4goQDCiuL7UjgAACCCCQnwClEEAAAQQQQACBEgoQDCghNk0hgAACCCAQFmAeAQQQQAABBBAolwDBgHLJ0y4CCCCAQC0KsM0IIIAAAggggEAsBAgGxGI30AkEEEAAgeoVYMsQQAABBBBAAIH4CRAMiN8+oUcIIIAAApUuQP8RQAABBBBAAIGYCxAMiPkOonsIIIAAApUhQC8RQAABBBBAAIFKEiAYUEl7i74igAACCMRJgL4ggAACCCCAAAIVK0AwoGJ3HR1HAAEEECi9AC0igAACCCCAAALVIUAwoDr2I1uBAAIIIFAsAepFAAEEEEAAAQSqUIBgQBXuVDYJAQQQQKBvAqyNAAIIIIAAAghUu0BRggGPPbrFtr3wSrXbsX0IIIAAAtUjwJYggAACCCCAAAI1JRBpMKCz85jdcfsa27Bhsy1f/lDWgEAy2WE//vFLKWgFD2a1LDWlVaseSeWnz2Qr59vV+krhQITmlaekvqlser16nqtctna1HgkBBBBAoFIF6DcCCCCAAAIIIFC7ApEGA57a9JyNGzfWpk2baNdd32xbn99hGvin865fv8naDhx02RqEb9++01asvNlWr1ni8jT4djOhh1zl1q593LWr9ZfdO982btxsu3e1uqR55WmZ+qayoWrdrMpmK5erXbcyDwgggAAClSNATxFAAAEEEEAAAQScQKTBANXY2DhCE6sbOMBmz77GEol699w/aHD93LPb/VMXMJgy5VKrqxvg8mbMmGx79u639E/wFVjIVG7v3neCwEKHXXb5BW59tdfcPNEUYFC66KLzU32YNPliVyY9QJGrXLZ20/vnKuYBAQQQQCB2AnQIAQQQQAABBBBAoLtApMEADcjXrXvCtm7d0b2lIEeD8Cef/Il9+StfDJ5ZasDfNGaUe66HgUEQQdOjR49p4pIfeGcqt29fmzU2Dk8N+LVCIjHEXZGg9nQ1gPKUFHBQkKI9eUhPUylbubffOuDKZGo33D9XiAcEEEAAgbgI0A8EEEAAAQQQQACBHgQiDQboU/m777nRGkePyHjPAH09QJ/uD0u7WiDcx2wD9nAZzftyhw8d0dMuqSEIBnQGwYT3jx/vkq8niaDtZFowQPnpSeXa2w+nZ7srGDIFFLoVJAMBBBBAoIQCNIUAAggggAACCCBQiECkwQDf8KiRw23evGvdVwD89//19QAtH3/heZpkTboKQAP5hmBAn7VQsMCXGzxkUPCs63998q8B+8n9+3ddEDxLJjtMVw4Eszn/q1xDw+BuZXy7PfWv24qhjIPtZm+83o+EAccAx0CvjoHQy0ksZ0v2+haz4yeWOyPUqVrdL6Xa7hB1LGdL5RC3dmK5M0KdipsX/eH9OcdAZR0DGleGXlIKni1KMMD3Qt//P3rsPXfJvr4+oHsF6K7++qUB/eKAv5nf7l17/CrmL7/3XxfQAl0FoGmmciNGDLPW1v2uDZVRSgaf/CcS9cGgv97dO0B5StkG8iqr+waojJIvd/oZp+qpZWo33D9XqICHoQ1mZ539AQkDjgGOgV4dAwW83JSlaDFf3+Jcd1mwC2g0znbV0LcCdkVZilaDcW+2oSzYBTTam21iHd5DcwxwDPhjYGgwrizgJadb0ciCAcngE/dbFz8QDJxbU4088/SL1tZ20D3/i9tucL8WoLv666oB/eKAbjB45eRLbMuWban7B+irBLqyQAEA1amfA9Q0W7mRI09zvySgttSQyuqXAXSvAN3DQIN85WmZfu1AUw3+NfUpV7ls7ap/fn2mCCCAAAJFE6BiBBBAAAEEEEAAgSIInBRVnRpgz1/wFVu58mHTp/769F8D8Zkzp7pP6LMNnpvGNNrYsaNt7pw7TVcNqD9XXT1BkyCwsMcN9FV3rnL6lQC1pfUXLrjPmpsnmsprPd2jQHlapjLqjyrXzwnOm3uX6esLucqpnmz9Uz0kBBBAAIGoBagPAQQQQAABBBBAoNgCkQUD1FENqnUDQX3qr0//b1nU4m64p2XhpPsG+AG/8jWvKwaUdLWA8pR27noz9ZOBep6tnAINakvrK6l+lVfSvPKUVEZlla9B/vIVN5mW67mmKqMULqdl2drVMhICCCCAQAQCVIEAAggggAACCCBQUoFIgwFR93z69EnuqoKo66U+BBBAAIHyC9ADBBBAAAEEEEAAgfIJFCUYoE/S9Ul7+TaLlhFAAAEEYihAlxBAAAEEEEAAAQRiIlCUYEBMto1uIIAAAgiUXYAOIIAAAggggAACCMRRgGBAHPcKfUIAAQQqWYDB0t/3AAAQAElEQVS+I4AAAggggAACCMRegGBA7HcRHUQAAQTiL0APEUAAAQQQQAABBCpLgGBAZe0veosAAgjERYB+IIAAAggggAACCFSwAMGACt55dB0BBBAorQCtIYAAAggggAACCFSLAMGAatmTbAcCCCBQDAHqRAABBBBAAAEEEKhKAYIBVblb2SgEEECg9wKsiQACCCCAAAIIIFD9AgQDqn8fs4UIIIBATwIsRwABBBBAAAEEEKgxAYIBNbbD2VwEEEDgQwEeEUAAAQQQQAABBGpZgGBALe99th0BBGpLgK1FAAEEEEAAAQQQQOCEAMGAExBMEEAAgWoUYJsQQAABBBBAAAEEEMgkQDAgkwp5CCCAQOUK0HMEEEAAAQQQQAABBHoUIBjQIxEFEEAAgbgL0D8EEEAAAQQQQAABBAoTIBhQmBelEUAAgXgI0AsEEEAAAQQQQAABBPogQDCgD3isigACCJRSgLYQQAABBBBAAAEEEIhKgGBAVJLUgwACCEQvQI0IIIAAAggggAACCBRFgGBAUVipFAEEEOitAOshgAACCCCAAAIIIFB8gaIEAx57dItte+GV4veeFhBAAIFqEGAbEEAAAQQQQAABBBAosUCkwYDOzmN2x+1rbMOGzbZ8+UNdAgLJZId98xv326yWpTZv7l22e1dralMVPFC+0qpVj6Ty02eylfPtan2lcCBC88pTUt9UNr1ePc9VLlu7Wo+EAAII9EaAdRBAAAEEEEAAAQQQKKdApMGApzY9Z+PGjbVp0ybaddc329bnd5iCABqAf/cfH7c5c6bb6jVLbOHCP7Q1ax51yzQI3759p61YebNbJgwNvjUNp1zl1q593LWrupfdO982btzsgg0KOGheeVqmvqlsuF7N5yqXq12tS0IAAQTyFKAYAggggAACCCCAAAKxEYg0GKCtamwcoYnVDRxgs2dfY4lEvdXVDbAb53/ZmsY0umWannPOmdaePOQCBlOmXOrKaOGMGZNtz979pgCCnvukwEKmcnv3vmNtBzrssssvcEXVXnPzRFOAQemii853fdDCSZMv1sQFIdzMiYdc5bK1m96/E1UxQQABBEICzCKAAAIIIIAAAgggEE+BSIMBGpCvW/eEbd26I+fW6pP4V1/9pQ0MggQq2DRmlCYuDQyCCJo5evSYJi75gXemcvv2tVlj4/DUgF8rJBJD3IBfVyXoagDlKSkooSCFghB67lO2cm+/dcAVydRuuH+uEA8IIICABEgIIIAAAggggAACCFSAQKTBAH0qf/c9N1rj6BHd7hkgCw3q9b392277tunT+4aGIcrukrIN2LsUCp74cocPHQmedf3fEAQDOoNgwvvHj3ddEDxLJOqDQMGhYC73f5Vrbz/crZBvNz2g0K0gGQggUDMCbCgCCCCAAAIIIIAAApUmEGkwwG/8qJHDbd68a91XAMLf/9dA+pZFLe7+AE8++RN76cWf+1VSUwUMNJBvCAb0qcwMM77c4CGDui3VQF1XAJzcv3+3ZboKQFcOdFuQlqFyDQ2D03LNfX0hn/51WzGUcbDd7I3X+5Ew4Bio3GOgrPsu9HISy9lafX2L5c4IdapW90uptjtEHcvZUjnErZ1Y7oxQp+LmRX94f84xUFnHgMaVoZeUgmeLEgzwvdD3/48ee8/dzG/tdx/32e7+AL//+1fa4Xc7Xd7uXXvcVA/+8nv/dQHlKYigaaZyI0YMs9bW/cGn/R0q4lIyech9bSCRqHf3DnCZwYMPIDSkBRoSWcqdfsapwVoW9D93/1yhAh6GNpiddfYHJAw4BirqGIjPOVvAy01Zitbq61tZsAtotFb3S6m2u4BdUZaipXKIWztlwS6g0bh50Z/4/K1nX7Av8jkGhgbjygJecroVjSwYkEx22K2LHwgGzh/9ZOAzT79obW0H7YyRp7kBu+7Mrx5oUP7ggz+yYcEg/MrJl9iWLdvcJ+5atn79JtOVBQoAqE59rUDTbOVGBnXrvgBqS+urrH5BQHm6h4FuDqg8LdOvHWiqwb+mPuUql61d9c+vzxQBBKpUgM1CAAEEEEAAAQQQQKBKBSILBmiAPX/BV2zlyodtw4bN7p4BGojPnDnVXQnw9RuuMd1ccFbLUps75073U4DjLzzP/cLA2LGjXZ6WWfDvqqsnBI8ffiKvQb3qbhrTaNnK6VcC1JbWX7jgPnc/ApXXevoFAuVpmcqoP6pcNzGcN/cuU4AiVznVk61d1UNCAIHqEmBrEEAAAQQQQAABBBCoBYHIggHC0qBaNxCcNm2iu2eA7g/gP0H3y1avWWJKfsCv9TSvPCX9HKHylHbuejP1k4F6nq2c2lBbWl9JQQaVV9K88pRURmWVr0H+8hU3mZbruaYqoxQup2XZ2tUyEgIIVLwAG4AAAggggAACCCCAQM0JRBoMiFpv+vRJ7rv/UddLfQggUOsCbD8CCCCAAAIIIIAAArUtUJRggD5J1yfttU3L1iOAQKwE6AwCCCCAAAIIIIAAAgikBIoSDEjVzgwCCCBQRgGaRgABBBBAAAEEEEAAgcwCBAMyu5CLAAKVKUCvEUAAAQQQQAABBBBAIA8BggF5IFEEAQTiLEDfEEAAAQQQQAABBBBAoFABggGFilEeAQTKL0APEEAAAQQQQAABBBBAoE8CBAP6xMfKCCBQKgHaQQABBBBAAAEEEEAAgegECAZEZ0lNCCAQrQC1IYAAAggggAACCCCAQJEECAYUCZZqEUCgNwKsgwACCCCAAAIIIIAAAqUQIBhQCmXaQACB7AIsQQABBBBAAAEEEEAAgZILEAwoOTkNIoAAAggggAACCCCAAAIIIFBeAYIB5fWndQRqRYDtRAABBBBAAAEEEEAAgRgJEAyI0c6gKwhUlwBbgwACCCCAAAIIIIAAAnEVIBgQ1z1DvxCoRAH6jAACCCCAAAIIIIAAAhUhQDCgInYTnUQgvgL0DAEEEEAAAQQQQAABBCpPgGBA5e0zeoxAuQVoHwEEEEAAAQQQQAABBCpcgGBAhe9Auo9AaQRoBQEEEEAAAQQQQAABBKpJgGBANe1NtgWBKAWoCwEEEEAAAQQQQAABBKpWgGBA1e5aNgyBwgVYAwEEEEAAAQQQQAABBGpDoCjBgMce3WLbXnilNgTZSgQqW4DeI4AAAggggAACCCCAQA0KRBoM6Ow8ZnfcvsY2bNhsy5c/1CUg4JfNallqSgoYeG/NK09p1apHfHa3abZy6XWHAxGaV71K6pvKdqs4yMhVLlu7wWr8R6ACBegyAggggAACCCCAAAII1LpApMGApzY9Z+PGjbVp0ybaddc329bnd1gy2eGM16593C1bvWaJrVh5s+3c+abt3tXqAgbbt+90eVqmwhp8axpOGqxnKxeue9m9823jxs2ubtWveeWpbvVNZcP1aj5XuVztal0SAhUhQCcRQAABBBBAAAEEEEAAgZBApMEA1dvYOEITqxs4wGbPvsYSifpUQGDS5Is/XFY3wCZMGG8a3CtgMGXKpVYX5GnhjBmTbc/e/Zb+CX62cnv3vmNtBzrssssv0Oquvebmia5u1X/RRee7PC307fsAhfKUcpXL1m56/1QPCYE4CdAXBBBAAAEEEEAAAQQQQCCbQKTBAA3I1617wrZu3dGlPQUEFBjwA34tbG3dZ8OHJzRrTWNGuakeBgZBBE2PHj2miUt+4J2p3L59bdbYODw14NcKicQQF4DQoF9XAyhPSe0rSNGePKSnqZSt3NtvHXBlMrUb7p8rxAMC5RegBwgggAACCCCAAAIIIIBAXgKRBgM06L/7nhutcfSIbvcMCPdGl+VrAP7ZC34jnO3msw3Y3cLQgy93+NCRUO6Hsw1BMKAzCCa8f/z4hxmhx4S7UqFrMCC0ODWrcu3th1PP/YxvNz2g4JczRaC0ArSGAAIIIIAAAggggAACCBQuEGkwwDc/auRwmzfvWnfPgPTv/ysQ8MMf/rtNnzHZF+8y1VUAGsg3BAP6LgvSnvhyg4cMSltipoG6rgA4uX//bssUhNCVA90WpGWoXEPD4LRcc19fyKd/3VYMZRxsN3vj9X4kDHp3DOBW826hl5NYztbq61ssd0aoU7W6X0q13SHqWM6WyiFu7cRyZ4Q6FTcv+sP7c46ByjoGNK4MvaQUPFuUYIDvhb7/f/TYe/6pu3T/wQd/ZF/92lR3jwB9yq6Fu3ft0cQlf/m9/7qAMnOVGzFimLW27nd1q6xSMnnIfW0gkah39w5QnpIPIDSkBRoSWcqdfsapWs166p8rVMDD0Aazs87+gIRB3scAxwvnS/gYKODlpixFw32tpfmyYBfQaC3ti3JsawG7oixFy2EShzbLgl1Ao3Ewog+8x+AYqNxjYGgwrizgJadb0ciCAclkh926+IFg4NyaauSZp1+0traD7rmW/90Dj9jXb/jwpoIuM3i4cvIltmXLNveJe/DU1q/fZLqyQAEAraOfA9Q0W7mRI09zv1KgtrS+yuoXBHSvAN3DQDcHVJ6W6dcONNXgX1OfcpXL1q7659dnikARBKgSAQQQQAABBBBAAAEEECiawElR1awB9vwFX7GVKx+2DRs2u3sGaCA+c+ZUFyBY/GcP2C9+8YYtXHCfzWpZ6tKqVY9Y05hGGzt2tM2dc6fLU3+uunqCJsF6e9xAX3XnKqdfCVBbqlf1NzdPdPVqPf1SgfK0TGXUH1WuryvMm3uX+2nDXOVytat6SAhEJ0BNCCCAAAIIIIAAAggggEBpBCILBqi7GlTrBoLTpk003TPglkUt7usAGlAvX3GTrV6zpEvSLwxoPQ3+/TKfp/ydu95M/WSgnmcrp0/p1ZavY/yF56m4S5r3+Sqjslrg+6Tleq5ppnJalq1dLSMh0CcBVkYAAQQQQAABBBBAAAEEyiAQaTAg6v5Pnz7Jffc/6nqpD4FyCtA2AggggAACCCCAAAIIIFBugaIEA/RJuj5pL/fG0T4CMRGgGwgggAACCCCAAAIIIIBArASKEgyI1RbSGQTKIkCjCCCAAAIIIIAAAggggEB8BQgGxHff0LNKE6C/CCCAAAIIIIAAAggggECFCBAMqJAdRTfjKUCvEEAAAQQQQAABBBBAAIFKFCAYUIl7jT6XU4C2EUAAAQQQQAABBBBAAIGKFyAYUPG7kA0ovgAtIIAAAggggAACCCCAAALVJUAwoLr2J1sTlQD1IIAAAggggAACCCCAAAJVLEAwoIp3LptWmAClEUAAAQQQQAABBBBAAIFaESAYUCt7mu3MJEAeAggggAACCCCAAAIIIFCTAgQDanK31/JGs+0IIIAAAggggAACCCCAAAIEAzgGql+ALUQAAQQQQAABBBBAAAEEEOgiQDCgCwdPqkWA7UAAAQQQQAABBBBAAAEEEMguQDAguw1LKkuA3iKAAAIIIIAAAggggAACCOQpQDAgTyiKxVGAPiGAAAIIIIAAAggggAACCPRGgGBAb9RYp3wCtIwAAggggAACCCCAAAIILacpEAAAEABJREFUINBnAYIBfSakgmILUD8CCCCAAAIIIIAAAggggEC0AgQDovWktmgEqAUBBBBAAAEEEEAAAQQQQKCIAgQDiohL1YUIUBYBBBBAAAEEEEAAAQQQQKBUAkUJBjz26Bbb9sIrpdoG2qlUAfqNAAIIIIAAAggggAACCCBQFoFIgwGdncfsjtvX2IYNm2358oe6BQRWrXrE5s29y3bvau2ysQoezGpZakoq02Vh6Em2cr5dra8UDkRoXnlK6pvKhqpMzeYql63d1MrM5C1AQQQQQAABBBBAAAEEEEAAgfILRBoMeGrTczZu3FibNm2iXXd9s219foclkx1uKzUInzFjsn3uc+e75/5Bg/Dt23faipU32+o1S1y2Bt9uJvSQq9zatY+7drX+snvn28aNm13AQUEHzStPy9Q3lQ1V62ZzlcvVrluZh54EWI4AAggggAACCCCAAAIIIBAzgUiDAdq2xsYRmljdwAE2e/Y1lkjUf/i8bkBq3mWceFDAYMqUS60uWK4sBQz27N1vCh7ouU/Zyu3d+461Heiwyy6/wBVVe83NE00BBqWLLjo/1e6kyRe7Mj5A4Z4ED7nKZWs3vX9BNfxPCTCDAAIIIIAAAggggAACCCAQZ4FIgwEakK9b94Rt3bojr232A+qmMaNS5QcGQQQ9OXr0mCYu5Sq3b1+bNTYOTw34tUIiMcRdkaBBv64GUJ6SAg4KUrQnD+lpKmUr9/ZbB1yZnvrnCtX6A9uPAAIIIIAAAggggAACCCBQMQKRBgP0qfzd99xojaNHZLxnQD4q2Qbs6ev6cocPHUlfZA1BMKAzCCa8f/x4t2WJRH0QKOgaDOhWKMhQufb2w8Fc1/++3fSAQtdStfGMrUQAAQQQQAABBBBAAAEEEKhMgUiDAZ5g1MjhNm/ete6eAZm+/+/LZZrqKgAN5BuCAX2m5T7Plxs8ZJDPSk01UNcVACf375/K8zO6CkBXDvjn2aYq19AwuNti325P/eu2YijjYLvZG6/3q8REn9lvHAMxOAZCLyexnK3V17dY7oxQp2p1v5Rqu0PUsZwtlUPc2onlzgh1Km5e9If35xwDlXUMaFwZekkpeLYowQDfC33//+ix9/zTblN9yq7M3bv2aOKS/3qA/7qAMnOVGzFimLW27g8+7f/wRoUqn0wecl8bSCTq3b0DlKeUbSCfrdzpZ5yq1ayn/rlCBTwMbTA76+wPKiTRT/YVx0DcjoECXm7KUjRuXqXqT1mwC2i0VA612k4Bu6IsRdkvZWHvsdFa3S9sN++tOAaiOQaGBuPKHl9ochSILBiQTHbYrYsfCAbOH/1s4DNPv2htbQdzNG925eRLbMuWbakbBq5fv8l0ZYECAKpTPweoabZyI0ee5n5JQG2pIZXVLwjoXgG6h4FuDqg8LdOvHWiqwb+mPuUql61d9c+vX3VTNggBBBBAAAEEEEAAAQQQQKCqBU6Kaus0wJ6/4Cu2cuXDtmHDZnfPAA3EZ86cmrOJpjGNNnbsaJs7506b1bLUlb3q6gluqk/kNahX3bnK6VcC1JbWX7jgPmtunmgqr/X0SwXK0zKV8f3RzwnOm3uX6acDc5VTPdn65zpZJQ9sBgIIIIAAAggggAACCCCAQO0IRBYMEJkG1bqB4LRpE909A25Z1JL6yUAtV5r51aluoK55nzT4X71miSnp5wh9/s5db6Z+MlB52crpU3q1pfWVxl94noq7pHnlKamMymqBBvnLV9xkWq7nmqqMUriclmVrV8sqONF1BBBAAAEEEEAAAQQQQACBGhWINBgQteH06ZPcd/+jrrd262PLEUAAAQQQQAABBBBAAAEEEDArSjBAn6Trk3aAYyBAFxBAAAEEEEAAAQQQQAABBBBIEyhKMCCtDZ6WWIDmEEAAAQQQQAABBBBAAAEEEMglQDAgl07lLKOnCCCAAAIIIIBAJAJjFk61OKdINpJKEEAAAQSK8zUBXEshQBsIIIAAAggggAACCCCAAAII9E6AKwN651aetWgVAQQQQAABBBBAAAEEakogzlfq+L7V1A6poo0lGBDznUn3EEAAAQQQQAABBBBAAAEEEIhagGBA1KJ9ry92NXTc8mWLc4odGB1CAAEEEEAAAQQQQAABBGIuQDAgFjuITiCAAAIIIIAAAggggAACCCBQOgGCAaWz7toSzxBAAAEEYn3Hcn0Pkl2EAAIIIIAAAghUqwDBgBLuWZpCAAEEEEAAAQQQQACB0gjE+Wuu6ltpFGgFgewCBAOy20SxhDoQQAABBBBAAAEEEEAAAQQQiJ0AwYDIdwkVIoAAAggggAACCCCAAAIIIBBvAYIBUewf6kAAAQQQQAABBBBAAAEEEECgggQIBvRyZ7EaAggggAACCCCAAAIIIIAAApUqQDAg/z1HSQQQQAABBBBAAAEEEEAAAQSqQoBgQM7dyMJqE9BPhcU5VZs324MAAggggAACCCCAAALxFCAYkL5feI5ABQic8f3jFvdUAYx0EQEEEEAAAQQQQACBmhUgGGBmNbv32XAEEEAAAQQQQAABBBBAAIGaFKjVYIDb2clkh61a9Yh1dh5zz3lAAAEEEEAAAQQQQAABBBBAoBYEaigY0HV3bnvhFVu44D577tntdv993ycg0JWHZwgggAACCCCAAAIIIIAAAlUsUN3BgCw7TlcEPPnkT2zx4uvt4kvG2YQrxttTm57LUppsBBBAAAEEEEAAAQQQQAABBKpLoOqCAfnunmGn1tvAugGu+Pjx59lVV09w8zwggAACCCCAAAIIIIAAAgggUO0C1RAMKHgfJRL1NmrkcLt32fes88ixgtdnBQQQQAABBBBAAAEEEEAAAQQqWaBCgwF9J9eVAHPmTLdXX/0l9wzoOyc1IIAAAggggAACCCCAAAIIVJBA5QQDioDakBhin/7MOfal5ivsjttX29697wTTNTarZalLuslgEZq1g+1mb7zer2JS+9fXWZxTIZb/60//xeKc8t2W//jtky3uKd9toVzhrwVxPh/Vt0L2aZzPR/WtkG3hnCz8WC7EN+5ldezHORXip2M/zqmQbeG85LyshvMyzuej71sh5yVlozsvNa7sy3g11sGAvmxYIes2NTXahCsutKOdx+yWRS22es0Sl8ZfeF4h1eRddmiD2Vlnf0DCgGOAY4BjgGOAY4BjgGOAY4BjgGOgZo6Bz/34fYtzqrQx2tBgXJn3IDRDwbgFAzJ0Mfqsxx7dYqtWPZKquL39kG359xdSz5lBAAEEEEAAAQQQQAABBBBAoJoFYhAMKD2v7hegGwguXHCfPffsdvvWohXW3DzRmsY0lr4ztIgAAggggAACCCCAAAIIIIBAiQXKEwwo8UZmak4BgWX3zreLLxlnK1bebMX6SkCmtslDAAEEEEAAAQQQQAABBBBAoJwCJQsGlHMjaRsBBBBAAAEEEEAAAQQQQKC8Am99ub/FOZVXp/StFzMYUPqtKbDFRKLeZs++xurqBhS4JsURQAABBBBAAAEEEEAAAQQQqFyBiIMBlQtBzxFAAAEEEEAAAQQQQAABBBCoFYG+BwNqRYrtRAABBBBAAAEEEEAAAQQQQKBKBHoVDKiSbWczEEAAAQQQQAABBBBAAAEEEKhJgXyDATWJw0YjgAACCCCAAAIIIIAAAgggUI0COYIB1bi5bFMlCDz26Ba74/Y11tl5rFt3d+9qtW9+437TtNvCDBmqY9WqRyyZ7MiwNHeW+qG28llXZbe98EruCkNL1S9t46yWpeaT+hkqUvCs+qk6VHfBK7MCAhEIrP3u43mfm765Uhy3Oic437w401oU0N/MeXPvSv290fxLL/7c/T3V368oTXo6pzkfo9SmrrgI6Dzy7+c01fuxYvRN57L+1haj7mx19tSmznm9X9Z2+ySPbPXlk6/31H2tI592KGPWNRiACAIxEWht3Wdv7X2nW2+2b9+ZMUjQrWAEGVddPcHuvudG069ORFBdqgq9qOpFc8qUS231miWpdNFvne/emOlFNVWYGQQQ6JMA51uf+Fi5igQ+97nzU39vlq+4yT57wW+4v3H6W1eqzeR8LJU07ZRKwAe39uzdnzq/9N5u1MjhNfGeToP2xX/2gM2ZM73L9stfQXj5aJ4UX4GT4ts1elarAnpBbWwcYc+/8LMuBBok79z5pg0bVh980n+oy7JKeaIXxR/+8N9t4cI/tPEXntel23pejOBDl0Z4gkANCXC+1dDOZlNjL8D5GPtdRAd7IfDUpuds3Lix7qfKw6sryPYHf/AFW79+Uzi7qub1vvzJJ39it/3lDdY0prHLtmn7b1nUws+3d1GJz5NwT7gyIKzBfGwE9MKqzuiFRlOl3bv22EXBJxt1dQP1NJV0KZa/LEmfuD/11H+YLi3SurcufsCee3a7KWqpTyS0kpb58poqqql8lVddeuFWPS+99HMLX4qlZSqvpOW+Ha3rk+rQMpVROz7fT3W1g4IZ6S+afnl4qv7qUk7VpaT2/XLVrTy1pTZVVtuobdU2K0/lVYbIrFdjWi4BHY86VnU8KunY1Lml49b3adu2V7pcwhxepjJaR+sq6bzwy1W3lvnzVs9VXimq801tqU21rdcLPU8/39LPSbVPQiDuAv481PGr80j91aBdfzd0rOu5jnd//Osc8OW0TEnrKl9J5fS3WvnpqZTno/qo/mg7tD3pfeE5AlEI6NjSB1iXXX5Bxuo++akml6+/Szom/TnlMoOHcF74PNKx68v6df3fuI5D7wZrmnufq3JKvqxbEDyoXuUrfXhOtga5H/5XfT39PQ6vr7LJ5KEPV0571Lmu9+v5XEGbbftUpW/Pn68qu3z5Q7Zhw2bTsmSyw11loe3RMq1DKlgg6woEA7LSsKDcAmPHjLZnnn7RdUMvuFuf32GfCl5Yh51a7/L0oBcJTXVJlpIuU9oYvHgoTy9Of3HbDXbxJeNSUUv/IqKyPqle/0L66i9+aVv/Y4ct+tYsqx9yiqpxKVc7rsCJB70wTpgw3l0qpRcvvYk6schNksELqvrlnuR40HorVz7sriDw/VRx9UMW+uOz7N757rIsbZOCC4rMalu1zSqrtGLlzaavIyhyreckBEotkAz+iN/+V6tNn5D4Y1mXT/5HcJ75vui82779VXfeqIyO5TVrHk3df0DHvcpqmZKurNH5ofNE+Vrfn7fh8ysZwfmm+rdv32mzZn3JdD7p9aIhMcS9pvjzbeDAAZZ+Tmo9EgJxEtA5pzfTSukDBH2Kp/NSf0/Wrn3c/d3Q1Wo6x3Q1m65a07mnpK+0+XNS5XV+6NzQMpXTJ4VtB7rfp6dU56M3V5/4++c1mBZD4OjRD+9tpb8BmeqvqxtgdcHfh/bgb9GVky+xLVu2pb7qqnOr88gxU8BA55HW1znkk/7WZHtvqnPZl9d7QZ1zyeBvrfJ0buoc9fXonNQ5rPZUpqe/x1pf9fj19X543bonrPPEtmqZT/pKr67k9c+zTbV94dcJ9Vl1apvjMFMAABAASURBVPvUJ60XPl/1ejRv3rU2bdpEd8VFT++ttT4pk0B+eQQD8nOiVIkENNDVmwi9uDSNGeXeYCtPnyjoBTWRqDe9YdELkH8BmTlzaqp3TWMa3Zv2VEZoRvXoxUiRRr0Z8kmfputFV0WHDRvqAgFqR8+VCmmnKeizXuz1Ajfzq1O7XTaVCAYRvj7VnS2pnxo8NQXb48v47dQfHxn83QOP2BkjTzO148v4qe+/3tTpDZ1eWP0ypgiUUsD/Eddx6NvV8ajvL/vn55x7pvnjW3k6fpubJ5rOA3++hJfrvND5oeUqn+m8VX4U55va1ycfeuOi16HZs6/pdh8RveHr6ZxUf0gIlFNA55x/g697Bug8Cvdn0uSL3TmnPH++6hz7z//8hc2dc2fqyh19YqcA3N6977i/0V+/4RrTOaD1NP39378y9Vx5PpXqfNTrh9rk758USMUU8EEAvS/L1I7ed2oQ3RC899P5VjdogP3s5d2u6I82PWv68EhPdJ4V8t70nHPONJ2vWjcRvC9ubBxuCjjo75XOTZ2j/j2uzl2dw2qjp7/HWl91hv/eqn79vVV+etJ7db0fT88PP5eBguXh1wnVqQ/vtgcfAmhe5XOdr009vLfW+qQTAr2YEAzoBRqrFFdAbyb0pkEvEHqDrRdOvWiOG3dOnxvWVQWKSPo3RH6qN/iqXMv9i7ueF5rUZ0VhFVzwlzuF69Dgva2tI/WJZ3hZIfMaTOkNly7fUuAh07raJkWH0z8BylSWPATiKKA3EPn0K9t5G9X51hQE5XTFzYMP/shdspipT/mck5nWIw+BuAgo2NXZedRa39xnflCgvukTOv+30k/1d66hYYgW551KeT7y9y/v3ULBPgjo/arep/qrWNOr0vtX5em9oab+6oCXX95l/qoA5etvWCHvTYcNq88YcFNdCq7rU3Z/rvqp/kZpeZSpKRikb9++s8vrRW/q7+l8lZ9ec7K9t+5Nm9W0Tl+3hWBAXwVZv6gC+kROn7S3HegIPmUf5dpSJFKDBL04KEPRRE2VdBnU6tU/1Gy35F+09b0rv7Cz85j7GcNsA2qVK6Qd//1LRVXVnt5cqQ6flPelL11hy5Z9z9Lb1HMN7vUmTNutTyK1PX5df6m/or9qpykYoOjSZb04+jJ+qrp0WZY+3dFlknqx9suYIlBKgabgzYLOYR2Tvl0dm/4yR+Xpkwx/fOu5zoGNGzeb3jhlOv/8cp0nKp8tRXG+KTioyyb1yY8+2dBrkdoPt6nztKdzMlyeeQTiJqC/hbqUuKXlatNVOf7vpM4xnYvhY17nr84JnV8aCOkqNa2vbdJUQTNN9TycVL6vf//yOR/1WqM+8vcvrM98sQT0Cb3eY+mcCLehY1Dv42bMmJzKbgret+nqgHvu/id3VYDOCSWdR/6cU2GdP/pASceynueb/N/L9L+nupeU/k419fD32K8ffl+tc1/bkakPKq/3mLqHjuoPl9H2axuUp+3L9DqhD/m0jSqb63zV31fVn+29tdqosRTp5hIMiJSTyvoqoDfcehFsSHz4iYM+SdBzvSFJJD66V4BvR9FEzfvLofQ94uZpE5WVMSkyqhclX16XT+mFTC9CGVc4kZlvO6pffVC9esFvCl74T1SRmihP34nWi6vvh6Ya1Cvyqe1UGV1CpaCBlikpAKJ+aJnKKE+BDw2YUpWfmNH2qLzKaCB2WZab25wozgSBSAR0OeRtt307dTmx3hzpWPXfOdTxqKRjU5cs+0b1SYbW1TIlvbHQoETHusrouNdUy5TSl2tZtqQ6+nK+6Y2azjG1uXDBfe6u0dqmcHtqQ3nqW7ZzMlyeeQTiJHDs2Ht2/33fd4MTHcv6+6G/kzp/9Vznoo5/Hd9KOn/9Oam/efr7rL95WqapbvSrTzozbaPqK/b5qP6rj+oPf/8y7QXyohTQ3wjdNV/njI45n3QM+vd04fb09+QznznX3SvA5+s8Cq+v8yif96Z+/fBU56ba9v3QuatzWOee/k719PdY66u+8PpTvvB501d1lZ+edL7pPj7h96taV+XkIh9tX/rrhN8+re/7m+181fo9vbdWe9Wdird1BAOKZ0vNvRDQC5VePDTV6noR0XO9EOi5kl44/IuVnmveXwalF95Jkz5nvrzW13Jfn8prmS+vqepTvsqorNbRc71whr+Pr2Uqr5TejupUPapDy1RG5VVPphQup7JK6eXVvr7XqWVK4eVqT3larnJqQ3WqjO+/5lVG/dEylSEhUEwBf8zpuFPSc7Wn40/HofKUlK9zS8eulum5Pj3RMqXwca31lVRGy5TCy/36/rhX2fSkMuH2VYfqC5dTX1SvlimFl4eX6dzTeqpTZXy7ytd6qkPlVYaEQFwEdEzqnEvvj/LO+2ST6e+s/ob55TqedXzrudbVca3jW8nna5mSyirfJ/0NVhl/bqhMOOncKfb5qPbVH7Wj9sLtM49AMQTSzwMdg5na0fl04/wvW/r5kb6+Px91/KouX17r67wN163nyvd5Kq/jX0nnbniZ6tN5oWVKKtvT+jqnVcbXnz5V/WpH9fmk7QmX03O/TFO/fSqjPihP/VL/lKflWkfzytMylVFZ5dVEKtFGEgwoETTNIIAAAggggAACCCCAAAIIIJBJoBx5BAPKoU6bCCCAAAIIIIAAAggggAACtSxQ9m0nGFD2XUAHEEAAAQQQQAABBBBAAAEEql8gXlvYp2CA7jCpG8zoBm/x2ix6gwACCCCAAAIIIIAAAggggECZBWLcfK+DAfopCN1Z+blnt7u70KYHBPQzEUradgUN9JNp+omJTOV010klBRZUPlNSXSqjFC7n61b+vLl3mX56wq+vPipfKVPbPZVTX7We1ldSfX4d9Sf83OczRQABBBBAAAEEEEAAAQQQqF2BStnyXgUDNAB/8smf2OLF19vFl4yzCVeMt6c2PZfaZg2i9TMR4Z8zW7DwDy39p2Y0mN6+faetWHmz6Q6RqkCDbE3DKVs5tfN3Dzxif/AHX3Dr66ct1qx51NQ/BQU2btxsy+6d75bpJy3Wrn08XK2bz1VO5bWe+qZ6VJ/Ka0Xlb9/+qmZJCCCAAAIIIIAAAggggAACtStQkVveq2CAtlQD+4F1AzRr48efl/opN2UcPXpMExs48MPl+kmIgQM/7vLCD1uf32FTplya+nkN/bSUggga5OdT7vXX9rp1P/mpJldcP21x0UXn2+5de2x7EGTQvNrWwkmTL9bEBQrczImHbOVee22PtR3oMB/QUD3NzRNdvVq1ITHEOoPtTO+rlpEQQAABBBBAAAEEEEAAAQSqWaDyt61XwYBEot5GjRxu9y77nnUe+XDgH6ZoTx6ysWPPdAP1cH543g+im8aMSmUPPBE88MEELchVbt/+tqCd0V3aaWwcYa2t+9ygX5/eqw6luiBwURfUr77puU+6iiBTudY391lj43DTtvqyiSAAoPJ6nqmvyichgAACCCCAAAIIIIAAAghUoUCVbVKvggEyuOrqCTZnznR79dVfdrtnQDIIBnQeOapiBaVsA/b0Sny5dw93pi8KBu9DXCCg24IgQwN79S2Yzflf5To6jnQr0xAEA/zVAOrDsGFDu5UhAwEEEEAAAQQQQAABBBBAoDoEqnkreh0MEIoGx5/+zDn2peYr7I7bV3cZhOsTepUpJOkqAA22VW+u9Xy5UwbXdSumwX4iUd8tXxnJZIcLFmg+V1K5+vpB3YroqgJdXaBAQLeFBWQcbDd74/V+JAw4BjgGOAY4BjgGOAY4BjgGOAY4BjgG4nUMVMz+0LiygGFot6J9Cgb42pqaGm3CFReaBss+r6epH1Dr+/2+rP96gL8EX/m5yo0YPsx27nzTFBxQWSV9RUCBCAUEdD8A5SmpTKZAQ7ZyjaP1dYP9XQIcyeShIJjwYaBB9bW1HVTVBaehDWZnnf0BCQOOAY4BjgGOAY4BjgGOAY4BjgGOAY6Bsh8DlTk2GxqMKwsejIZW6FUwQHf8D/+8X3v7Idvy7y+EqjX3vf0uGRmeXDn5EtuyZVtqML9+/SZ3LwIFAHTX/vvv+75blq3ceZ/8hNUNGmA/e3m3q13rbN26w3QfAt34T8GAZLLDLfO/dqDBv8s48ZCt3Cc+Mcp0L4Fnnn7RlVQ9+jUB5bmM4EF1hQMXQRb/EUAAAQQQQAABBBBAAAEE4i5A/6xXwQDdL0A3EFy44D577tnt9q1FK6y5eWIwCG90pOEb7bmMLA9NYxrdDQDnzrnTZrUsdaVUt2Y0kJ8wYby7OWCucvoFgnXrnnDrL1v2PWtpudp9eq+Bun6pQH1U3apv5sypqtoUNJg39y7TTxbmKqdfINB6Wl/1hLfxrb3v2NHOY65/rlIeEEAAAQQQQAABBBBAAAEEYitAx7oK9CoYoCo0aF9273y7+JJxtmLlzTb+wvOU7VJD6EZ7LiN4SCTqbfbsa7oNnlXP6jVLTEnLg6LuagBd0u9/MlB5mcopX/Xefc+Nbv3lK25KBSS0TH1SvUq3LGpJta3ggspqea5yukJB62l9JV9e6yRDXxnQcxICCCCAAAIIIIAAAggggECsBOhMDoFeBwNy1Ok+mdeN9vTpea5y2ZZpEK5P/DXNVqac+bpfwNbnd5i+YlDOftA2AggggAACCCCAAAIIIIBAWID5fAX6FAzQp/L6ND/ToH3mV6d2+ZQ+3w5VQjltr7Zb218J/aWPCCCAAAIIIIAAAggggEDVCrBhvRLoUzCgVy2yEgIIIIAAAggggAACCCCAAAJ9EGDVvgsQDOi7ITUggAACCCCAAAIIIIAAAggUV4DaIxYgGBAxKNUhgAACCCCAAAIIIIAAAghEIUAdxRQgGFBMXepGAAEEEEAAAQQQQAABBBDIX4CSJRMgGFAyahpCAAEEEEAAAQQQQAABBBBIF+B5eQQIBpTHnVYRQAABBBBAAAEEEEAAgVoVYLtjIEAwIAY7gS4ggAACCCCAAAIIIIAAAtUtwNbFTYBgQNz2CP1BAAEEEEAAAQQQQAABBKpBgG2ItQDBgFjvHjqHAAIIIIAAAggggAACCFSOAD2tHAGCAZWzr+gpAggggAACCCCAAAIIIBA3AfpToQIEAyp0x9FtBBBAAAEEEEAAAQQQQKA8ArRaDQIEA6phL7INCCCAAAIIIIAAAggggEAxBai76gQIBlTdLmWDEEAAAQQQQAABBBBAAIG+C1BDdQsQDKju/cvWIYAAAggggAACCCCAAAL5ClCuhgQIBtTQzmZTEUAAgd4I7N7VavPm3mWzWpa69M1v3G/JZId1dh6zO25f45Lme1N3Mdbx/X3s0S1Zq/dl/DZpuu2FV7KW72mBPOSyatUjPRUt2XJtf2+2y9to/b50VsdET8eH2lAffZKhLHvbrtZVHeXeD74ffrvkII98tkvHodbTNJ/ylEEAAQT6LkANtSpAMKBW9zzbjQACCBQoMG3aRFux8mYbNmyo/d0Dj9jRo8cKrCEexTUAve3hhyRzAAAJ0ElEQVS2b9usWV+y1WuWuDRv3rW2fPlDsQtsWC//aeC5fftOt/bW53e4aZwe1D8NkLds2WbL7p3v9oH2xTnnnmkLF9xn2kdx6m9v+3LxJePc9rW1HbSnNj3X22pYDwEEEIhegBoRCAQIBgQI/EcAAQRqUaDjli9btpTNo65ugA07td40uDl69L1sxWKbr0+9n3zyJ6bAxvgLz0v1U/MajN6yqMW0jakFMZoZs3CqZUqZuvjW3nestXWfW/Rf//mqabvdk5g8aGCs/s2ZM90SifpUr2bPvsYFBq66ekIqL24zZ3z/uGVK2fo5cOAAUwBNwRkFQbKVIx8BBBAotgD1I5AuQDAgXYTnCCCAAAJZBTSYaTvQ4QY3Awd+vEs5LdOnvbrEOZz0KW+mZfrqgR+k6rLu8DqaD18mrXnl+aTyvvH0uleufNgv6jbVgEyZ48aN1SRrSr/MO9xe+rKVK9e7KyUOHDhozz273X2qnd5fPc/aWBEW/GjTs67WL3/li27qt9s9CR7St8HvC+WvDPyOHDlqGzZstmd/8l/uagntVzlrf6ms9mlQTeqrIn6/+KlfrjLpSfWoP42NI+yMkaelL+7yXP3RZf++3krbD9oYH5jRMecDTToe/Db5qbZT26t1wkmWvoyf+v2RqZ5cRtp32oe+fpX1dWqq+vwypgggUBUCbAQCOQUIBuTkYSECCCCAgBfQ4HDunDvdVQFfv+EaGxh84umXabp27ePu0+jFi693n+7qEmnlh9OgQQNNy3VpuAZGftDqy+hyfX0V4dxzzzJ9gq+BowYouoRfy/TpvdZ99Re/NA1ktF56u+ece6ZpMKtl6WnP3v3uk/+GxJD0RannGpDd/lerTfVkam/9+k2urPqh5XPmzDB5nHrqUNM2X3b5BbZu3RNuXsuVdOWBW6kED+q/fD79mXNs0qTPmaYafMtSzWt5ePvUP5V58MEfuX2qT+u1n3T1xGcv+A2tkjWl22v7sxY+sUBfL9GVJbrCRMfAiexuk/R+ylvb5fd73PeDNkjBIX0lRfMKBmiqwfjq1T9MHR86H+StZelJx77OO+0L7SedA+ll9FzuWq5y/kqQdD8t9/tZx4Ic5SlXLVPdOs/UpuokIYBApQrQbwTyFyAYkL8VJRFAAIGaFtBAQ4OGu++5scul3UJpbz9kGlhosNE0plFZduXkSyx9kOM/DVYgQZdO6yoDDUy0ggbTTWNGucG6BooaMGrg6L/zroGKPr3Ud8r1Kbzae+21PXm1q/qVRo0c7j7Nbk8e0tOM6ZmnX3Rl1H8VSCTqbcKE8eYHWapD7asfGlCpTDj5bdNAUP0t9eBq9649pv5d9Fvnu25p+otfvGE/e3m3e56+fcrU5fmFfkVCg03tg572ueoPJ+8T3vfh5X4+vZ+Vth+0HX6QLqNly77nvq6hwIyW+eOrKThftFx56UnHvs4LBZi07JOfarJzg0CZ5sNJ+1jPdX4pEJYMju90Py33+1nnlfadjhMdxzpOdX6pjNrUlIQAAhUkQFcR6KUAwYBewrEaAggggEDpBDQg8p9gKiChpKDE0KGDC+qE/3TWD8gKWvlEYX2fXZ+i6qkG/OkBAX3arYG1BoIqo0FWqQICCqzoigrfbhwHefLRftA9A3QJvframxTn/ZC+PRqs+0F6+rJyPtcxqnMpnBQwKGefaBsBBPIToBQCUQgQDIhCkToQQACBGhdoaBjiLqv3n56LQ18B0ABI831JGkjpE0x/WXgy2eG+x66pPi0+59wzU5/aq51c7epT2ClTLnXfhw8P0DWvgbMG9voUVgNW1aP61I7ueq9Pb7W+8nTZv4ITClLoeaakQZUPGmRaXow8Da41yPZXcfhBngZ9+iRY25K+feqHtlvfTdd8OMkhfJVGMvjEWftUn0AXah+ud9Lki0116P4EyWB/+mXqh/aD9kd6P1WuUvaD3x4/1T7RVTKJxBBTIET5/vjS1wZ03igvPfljX5/ya5mu7tBVHprvKaX7qbx8tZ/9vlMwS9ZapqmWa56EAAKxFKBTCEQuQDAgclIqRAABBCpDoP6O71u21Jst0OBXA2Z9R1oDOg00elNP+joaeGtQrfpUry5rVpmXT1z2Xmi7/hNlfWKv+pQ0rzZUlwZKi741y339QMvUngIOWqZP3nXzNp+vfsyYMVmTVNLgTjdqUxnVq4G4tiFVoJczu5Y9bplSuDp/xYMfcPpluiRdfdegMn371E8NRvv16+e+HuHX8dOZM6e6G0bKQdujQIPfHpn0Zp8ryKCrJ+SqetUHJQUsFGRR/en9VDmVV5valnLth7e+3N8yJe8VnvpjVt/7109ZKpiktHDhH7oAlrZZ54sCLOH1/LwcdFy69VuWup+/9Mt6mqb7qa3wfpajjk3tUy3TtG7gAPdVhp7qZjkCCJRKgHYQKK4AwYDi+lI7AgggUPECGrwsX3GTaRAd3hg/oNOgTvNapgGG/zTaT7WelquckuaVNK+kea2ny/41gPH1hJ9rUOTr01Tr/fZvf1ZFXdL6yg8ntesWZnhIr0/rKc8XVT/UvvKVVL+Wqa9qW3lKKqOySppXOe+l5UrK07qlSNpm7Sv1Idyenitfy5Xv+6v+KWnZ1Ksud/drSC+bvs2+DtWjpO1THeGkMn49eWleZdNT+royVN98Oc0rz9et8lqm+lSvz1cZlVXSvMr57fBllKd1S5F8P3zbmoaPr/S+abn6rfVUTs81VV811fNw0rbLwC/TNFzWP1d9qtevG97PKi8Tv0zTmV+dauqblpEQQKBMAjSLQAkFCAaUEJumEEAAAQQQQAABBBBAAIGwAPMIlEuAYEC55GkXAQQQQAABBBBAAAEEalGAbUYgFgIEA2KxG+gEAggggAACCCCAAAIIVK8AW4ZA/AQIBsRvn9AjBBBAAAEEEEAAAQQQqHQB+o9AzAUIBsR8B9E9BBBAAAEEEEAAAQQQqAwBeolAJQkQDKikvUVfEUAAAQQQQAABBBBAIE4C9AWBihUgGFCxu46OI4AAAggggAACCCCAQOkFaBGB6hAgGFAd+5GtQAABBBBAAAEEEEAAgWIJUC8CVShAMKAKdyqbhAACCCCAAAIIIIAAAn0TYG0Eql2AYEC172G2DwEEEEAAAQQQQAABBPIRoAwCNSVAMKCmdjcbiwACCCCAAAIIIIAAAh8JMIdA7QoQDKjdfc+WI4AAAggggAACCCBQewJsMQIIOAGCAY6BBwQQQAABBBBAAAEEEKhWAbYLAQS6CxAM6G5CDgIIIIAAAggggAACCFS2AL1HAIEeBE4EA/q91n7wMSNhwDHAMcAxwDHAMcAxwDHAMcAxwDFQmccA+439xjGQ7zFg1u+1/x8AAP//W/m9TgAAAAZJREFUAwBWsvbauj5snwAAAABJRU5ErkJggg==">
          <a:extLst>
            <a:ext uri="{FF2B5EF4-FFF2-40B4-BE49-F238E27FC236}">
              <a16:creationId xmlns:a16="http://schemas.microsoft.com/office/drawing/2014/main" id="{D0F1AE05-3F29-4F65-AB87-D795C19892C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" name="AutoShape 2" descr="data:image/png;base64,iVBORw0KGgoAAAANSUhEUgAABAMAAAF6CAYAAABsq5GAAAAQAElEQVR4AezdD5xU1X3//w9iAouw7KCgsKhZ0H5NJInFGjVVfPD7gSS/ollqwTbpl2TRlgi0P4Hkp5Iipbb++SpqW8DSJtDQNCj+DERtHxr8lm/R/KJFibZg/CYCalxQkJ1lQRaMxN99Hznj3dmZ2ZndOzN3Zl48OHPvnHvuOec+772zcz5z585Jxj8EEEAAAQQQQAABBBBAAAEEEKh2gS7b54IBe9+++wMSBhwDHAMcAxwDHAMcAxwDHAMcAxwDHAMcAxwD1XQMZNuWe3a7YIDCAw1DrzISBhwDHAMcAxwDHAMcAxwDHAMcAxwDHAMcAxwDFXwM5DG2N/vgE6lggAICJAQQQAABBBBAAAEEEEAAAQQQqCyB3vSWYEBv1FgHAQQQQAABBBBAAAEEEEAAgfIJ9LllggF9JqQCBBBAAAEEEEAAAQQQQAABBIotEG39BAOi9aQ2BBBAAAEEEEAAAQQQQAABBKIRKGItBAOKiEvVCCCAAAIIIIAAAggggAACCBQiUKqyBANKJU07CCCAAAIIIIAAAggggAACCHQXKEsOwYCysNMoAggggAACCCCAAAIIIIBA7QqUf8sJBpR/H9ADBBBAAAEEEEAAAQQQQACBaheI2fYRDIjZDqE7CCCAAAIIIIAAAggggAAC1SEQ560gGBDnvUPfEEAAAQQQQAABBBBAAAEEKkmgYvpKMKBidhUdRQABBBBAAAEEEEAAAQQQiJ9AZfaIYEBl7jd6jQACCCCAAAIIIIAAAgggUC6BKmiXYEAV7EQ2AQEEEEAAAQQQQAABBBBAoLgC1VY7wYBq26NsDwIIIIAAAggggAACCCCAQBQCVV0HwYCq3r1sHAIIIIAAAh8JrFr1iM1qWWrbXnjlo8wizSWTHfbNb9zvkuaL1AzVIoAAAgggELFA7VRHMKB29jVbigACCCBQBoHHHt3iBuAahPeU7rh9jXV2HitDL2kSAQQQQACBGhao0U0nGFCjO57NRgABBBBAAAEEEEAAAQRqVYDtNiMYwFGAAAIIIIBAEQWuunqCrV6zJJVWrLzZzj33LBs0aKAtXnx9Kl9lblnUYnV1A4rYG6pGAAEEEECgZgXY8DQBggFpIDxFAAEEEEAAAQQQQAABBBCoBgG2IZcAwYBcOixDAAEEEEAAAQQQQAABBBCoHAF6mrcAwYC8qSiIAAIIIIAAAggggAACCCAQNwH60zsBggG9c2MtBBBAAAEESibwwQcf2Kuv/tJWrFhvf/ond6d+nUDzytMylcnUIf2MoP8Vg+ee3e6KLF/+UKoO/dqBy0x7+PWvf20/3faK3XP3P9kNX789VV5t/v3f/8B272o1tanpvLl3WSG/hHDkyFH73j/9q6v3ull/YX/2rZW2fftOV19aN3iKAAIIIIBAJgHyIhAgGBABIlUggAACCCBQLIH29kP2N3+9zg22X3j+Z3b48JFUU5pX3u1/tdr++v51prKphX2Y2bNnv91227ftb//2IXv55V127NivUrWpzWd/8l/2l3/5HfvHNY/Ze796P7Usnxmtf++yf7Z/+7etrl4FFNTefff+s/3gB/9m779/PJ9qKIMAAgggUHMCbHDUAgQDohalPgQQQAABBCISeOeddvfJ/Esv/cIGnTLQfvd3/w9bdu98+87qW13SvPJOGVxn//mfv3BltU64+fEXnpf6xYKLLxnnFs2bd20qT7924DJPPOza9abdded37fXX9lp9/Sn232f+jv3133zDlVe7vs1BQX+efvqntva7jwcD+PwDAv/fj18ytTF8eMKWLPlj+/Z3Ftuib82yYcPq7V//5cf2P5/6jxM9YYIAAgggUPMCABRVgGBAUXmpHAEEEEAAgd4JvPfer+yf1v6L6VPzc845M/ik/gabetXllkjUW79+/VzSvPL+/M9nm8qo7Orv/NA6O4/1qtG2toP27X/YaIcOvWufu3ic3XnXn9rEib9lQ4ac4urr16+fa19t3nnnn9gnP9lke/e+Y++9l38wYPdre1xdv/d7/6ed/YmRdtJJJ7m+33Tz1+yyyy6wCRN+0y3nAQEEEECgNgXY6tIJEAwonTUtIYAAAgggkLfASy/+3F2if/rpw+yPZ/+uNTQMybruqacOdWVU9n//79ftpz99JWvZXAs2b37e3nrrgP23/3a2fXXm79jAgR/PWvyUU+rshjm/5wb0WQvlWHCk82iXpaed1mAts662ukEDu+TzBAEEEECg6gXYwDIJEAwoEzzNIoAAAgggkE3g+PFf27PP/pdp+oUvft40UM5W1uerjMrqO/i6j4DW9cvymb57uNN0E7/+/U+yL3zxt/MalA8ePMgmT77YXaWQTxsq8+lPn+PK/78P/0976aWfc9NAoZAQQACBmhNgg+MgQDAgDnuBPiCAAAIIIBASOHKk095+u81dnj927JmhJblnVVaX9Gtd1ZG7dNelyfZD1nagw04//VQbM2ZU14U5np1zzlnu3gI5inRZ9LnPjXNfB9AvCvzNXz9od/+PtfbG63sJCnRR4gkCCCBQhQJsUuwETopdj+gQAggggAACNS6gO+ofO/aeffzjJ9spp+R/2bzKah2tqzoKYfzVe7+y48ePB+3V2cknn5z3qh/7WP+gfP+8y598cn/76tem2nXXf8ndFPGVV16zpUv/wZYvX2/vvtuZdz0URAABBBCIvwA9jLcAwYB47x96hwACCCBQgwIaMA8Y8HF3Y7533z2at4DK6mZ+Wld15L1iUPBjH/+Y9e/f3w3I338//xsC/upXx+39An8O8KSTTrLPf/6zdvfdN9qMGZNdUOCn216xu+78R9NNDIPu8B8BBBBAoDIF6HUFCRAMqKCdRVcRQAABBGpDYNCgOjv99GF2+PARe+ONvXlvtMpqHa2rOvJeMSiYaBhiw06tt7ffPmC7dn14x/8gu8f/r776hnV0vNtjuUwFBg78uH3hi583/TLBb/zG2fbmm/tMNzHMVJY8BBBAAIG4CtCvShU4qVI7Tr8RQAABBBCoVoH+/U+yC3/rk27z/vVffmwHDx5287keVEZlVUbrqg7N55tOGVxn48aNNd148F8ef9o6j/R8RYICD5s2Pdfn7/ufckqd/c7Uy0x9fv21vaafVcy335RDAAEEECiDAE1WhQDBgKrYjWwEAggggEC1Cfzmb57nfuJvz5799verfuAu38+2jfquvcqorH4WUOtmK5srf+LE37IzzjjVXn31l/YP/7ChxzZXf+eHpsF7rjrDy/R1ggcf/JH9/Oevh7PdvIIZv/71B+5XDD72sZNdHg8IIIAAAvERoCfVJ0AwoPr2KVuEAAIIIFAFAnV1A2zWdV9yXxf42c922803/61t+tGzlkx2uE/i9ROCmleelqmMvh6gdbRubwiGDRtq1/9Rs/sVgxdf/HnWNh9/7Gm3TGX06wX6RD+f9hRk+F+bt5p+ReCZZ1509xpQgEDzD6570lXx2c+e63560D3hAQEEEECgnAK0XeUCBAOqfAezeQgggAAClStw2mkNdtPNX3NXCLx7uNPWBQPmhQvus+tm/YVLmleelumKAJXVOn3Z4jFjRgdtftXOPPN0U72qX+2E2/zBD/7Njrx71C659NM2++u/a7phYT5tqo9XX32FHT36numqgj/+o780Jc3rpwY///nPmH56MJ+6KIMAAgggUAwB6qwlAYIBtbS32VYEEEAAgYoTaGgYYt/8f2bazbd8zd1HoG7QRz81qHndH0DLVEZlo9jAUaOG25I//2P7kz+51j71qTHBYP9jrtp+/fpZIlFvl1/+m7b0L75uf/RH06xu4AC3LJ+Hfv362Rf/r99223LOOWeavg7Qr18/UwDjq1+bal/92lUF/UxhPm1SBgEEEECgBwEW16wAwYCa3fVsOAIIIIBAOQR0Cf8ti1ps+YqbrGlMY15dOOmkk0x32587d4atCNZbvWaJKWleeVqmMj1VNnv2NW698Ree11NRU32/Of48+8Y3/7s98HeL3HrfWX2rLbt3vrXMutpGjx7hLufXNmhbtE3aNl+xggZ333OjKWne5/fr188UCFj0rVm26u+/Zarzf9z9f9sVV1xIIMAjMUUAAQSKLED1CEiAYIAUSAgggAACCCCAAAIIIIBA9QqwZQh0EyAY0I2EDAQQQAABBBBAAAEEEECg0gXoPwK5BQgG5PZhKQIIIIAAAggggAACCCBQGQL0EoECBAgGFIBFUQQQQAABBBBAAAEEEEAgTgL0BYHeChAM6K0c6yGAAAIIIIAAAggggAACpRegRQQiESAYEAkjlSCAAAIIIIAAAggggAACxRKgXgSiFyAYEL0pNSKAAAIIIIAAAggggAACfRNgbQSKLEAwoMjAVI8AAggggAACCCCAAAII5CNAGQRKKUAwoJTatIUAAggggAACCCCAAAIIfCTAHAJlEyAYUDZ6GkYAAQQQQAABBBBAAIHaE2CLEYiHAMGAeOwHeoEAAggggAACCCCAAALVKsB2IRBDAYIBMdwpdAkBBBBAAAEEEEAAAQQqW4DeIxB3AYIBcd9D9A8BBBBAAAEEEEAAAQQqQYA+IlBRAgQDKmp30VkEEEAAAQQQQAABBBCIjwA9QaByBQgGVO6+o+cIIIAAAggggAACCCBQagHaQ6BKBAgGVMmOZDMQQAABBBBAAAEEEECgOALUikA1ChAMqMa9yjYhgAACCCCAAAIIIIBAXwRYF4GqFyhKMOCxR7fYthdeqXo8NhABBBBAAAEEEEAAAQSqRYDtQKC2BCINBnR2HrM7bl9jGzZstuXLH+oSEEgmO+yb37jfZrUsdSkcLFDwwOevWvVI1j2QrZxv19cRrlvzPl99U9lMDeQql63dTPWQhwACCCCAAAIIIIAAAhUiQDcRqGGBSIMBT216zsaNG2vTpk20665vtq3P7zAFATQA/+4/Pm5z5ky31WuW2IqVN9uWLdts965WFzDYvn2ny9My7QsNvjUNJw3Ws5Vbu/Zx167WX3bvfNu4cbOrW/VrXnlapr6pbLhezecql6tdrUtCAAEEEEAAAQQQQACByhGgpwgg8KFApMEAVdnYOEITqxs4wGbPvsYSiXqrqxtgw4bVu3w9HD16zBQgaEgMcQGDKVMudWW0bMaMybZn7363XM99UmAhU7m9e9+xtgMddtnlF7iiiaC95uaJpsCB0kUXne/6oIWTJl+siQtQuJkTD7nKZWtX/T+xOhMEEEAAAQQQQAABBBCIrwA9QwCBDAKRBgM0IF+37gnbunVHt6amB4P8Bx/8kfuKwO1/tdq+fsM1NjAIGKhg05hRmrjk8xQwcBnBgx94Zyq3b1+bNTYOTw34g+LB/BA34NdVCboaQHlKCkooSNGePKSnqZSt3NtvHXBlMrUb7p8rxAMCCCCAAAIIIIAAAgjERIBuIIBATwKRBgP0qfzd99xojaNHdLlngAbz99/3fdMn+7pcf9G3Ztl99/6zvf7anm79yzZgTy/oXIBynwAAEABJREFUyx0+dCR9kTUkhljn0WP2/vHj3ZYlEvVBoKBrMKBboSBD5drbDwdzXf/7dtMDCl1L8QwBBBBAAAEEEEAAAQRKKkBjCCBQkECkwQDf8qiRw23evGvdVwD0/f+39r7jPr0ff+F5rogG2rqU/+WXd7vn4QcFDjSQbwgG9OH89HlfbvCQQemLTAN1XQFwcv/+3ZbpKoBED3VrJZVraBis2S7Jt9tT/7qslPbkYLvZG6/3I2HAMcAxwDHAMcAxwDHAMcAxwDHQh2OA99SMKWr5GNC4Mm2oWdDTogQDfA/0/f+jx95zn8Qngk/kfb6ffuxjJ7vZ3bs+ukLAX37vvy6gAvo0XtNM5UaMGGatrfuDNjpUxKVk8pCpPSXdD8BlBg/ZBvLZyp1+xqnBWmaZ2g33zxUq4GFog9lZZ39AwoBjgGOAY4BjgGOAY4BjgGOAY6CwYwAvvDgGThwDQ4NxZQHD0G5FIwsGJJMdduviB4KBc2uqkWeeftHa2g6avnOv+wjorv1aqLK6y7++z3/l5EvcLwtooK5l69dvMl1ZoACAyunnADXNVm7kyNPcLwmoLa2vsr5u3cNAwQDlaZl+7UBTDf419SlXuWztqn9+faYIIIAAAggggAACCCBQLAHqRQCBYgicFFWlGmDPX/AVW7nyYduwYbO7Z4AG4jNnTnWf0re0XG3Lln3P3UBw4YL7rLl5YhAkaHRp7NjRNnfOnW6Z+nPV1RM0CQILe9xAX3U3jWm0bOX0KwFqa1bLUgvXrfV0nwLlaZnKqD+qXIGJeXPvcj9tmKtcrnZVDwkBBBBAAAEEEEAAAQQiFqA6BBAoukBkwQD1VINq3UBw2rSJ7p4BtyxqSf1koAbVy1fcZLqBoJK/f4DW0+BfeUr6OULlKe3c9WbqJwP1PFs5fUqvtrS+UrhuzStPSWVUVnX5/mi5nmuqMkrhclqWrV0tIyGAAAIIIIAAAggggEDfBagBAQRKKxBpMCDqrk+fPsldVRB1vdSHAAIIIIAAAggggAACZRegAwggUEaBogQD9Em6Pmkv43bRNAIIIIAAAggggAACCMROgA4hgEBcBIoSDIjLxtEPBBBAAAEEEEAAAQQQKLMAzSOAQCwFCAbEcrfQKQQQQAABBBBAAAEEKleAniOAQPwFCAbEfx/RQwQQQAABBBBAAAEE4i5A/xBAoMIECAZU2A6juwgggAACCCCAAAIIxEOAXiCAQCULEAyo5L1H3xFAAAEEEEAAAQQQKKUAbSGAQNUIEAyoml3JhiCAAAIIIIAAAgggEL0ANSKAQHUKEAyozv3KViGAAAIIIIAAAggg0FsB1kMAgRoQIBhQAzuZTUQAAQQQQAABBBBAILcASxFAoNYECAbU2h5nexFAoOIFOm75ssU5VTwwG4AAAgjUigDbiQACNS1AMKCmdz8bjwACCCCAAAIIIFBLAmwrAggg4AUIBngJpggggAACCCCAAAIIVJ8AW4QAAghkFCAYkJGFTAQQQAABBBBAAAEEKlWAfiOAAAI9CxAM6NmIEggggAACCCCAAAIIxFuA3iGAAAIFChAMKBCM4ggggAACCCCAAAIIxEGAPiCAAAJ9ESAY0Bc91kUAAQQQQAABBBBAoHQCtIQAAghEJkAwIDJKKkIAAQQQQAABBBBAIGoB6kMAAQSKI0AwoDiu1IoAAggggAACCCCAQO8EWAsBBBAogUBRggGPPbrFtr3wSgm6TxMIIIAAAggggAACCFS+AFuAAAIIlFog0mBAZ+cxu+P2NbZhw2ZbvvyhVEDA589qWWrhpKCBNlhTn79q1SPKypiylUuvPxyI0LyvW31T2UyV5yqXrd1M9ZCHAAIIIIAAAggggEAeAhRBAAEEyioQaTDgqU3P2bhxY23atIl23fXNtvX5HZZMdlhd3QC7ZVGLrV6zxKXFi6+3z3zmXJs0+WIXMNi+faetWHmzWyYNDb41DScN1rOVW7v2cdeu6l9273zbuHGz7d7V6pLmladl6pvKhuvVvMpmK5erXa1LQgABBBBAAAEEEEAgPwFKIYAAAvERiDQYoM1qbByhidUNHGCzZ19jiUS9ex5++NGmZ23ChPGmIIECBlOmXOrmVWbGjMm2Z+9+S/8EP1u5vXvfsbYDHXbZ5Rdodddec/NEU+BA6aKLznd5Wqjgg6YKUGjqU65y2dpN75+viykCCCCAAAIIIIAAAikBZhBAAIGYCkQaDNCAfN26J2zr1h1ZN1efwnceOWaf/FRTasDfNGZUqvzAIIigJ0ePHtPEJT/wzlRu3742a2wcnhrwa4VEYoi7IkGDfl0NoDwlBR8UpGhPHtLTVMpW7u23DrgymdoN988V4gEBBBBAAAEEEEAAATMDAQEEEKgEgUiDAboK4O57brTG0SO63DMgDBG+KiCc7+ezDdj9cj/15Q4fOuKzUtOGIBjQGQQT3j9+PJXnZxKJ+iBQ0DUY4JeFpyrX3n44nOXmfbvpAQW3kAcEEEAAAQQQQACBWhRgmxFAAIGKE4g0GOC3ftTI4TZv3rXungHh7/+HrwrwZdOnugpAA/mGYECfviz83JcbPGRQONvNa6CuKwBO7t/fPQ8/6CoAXTkQzss0r3INDYO7LfLt9tS/biuGMg62m73xej8SBhwDHAO9OgZCLyexnK3V17czvn/c4pxqdb+w3bzfKN4xgC22HAMcA+U9Bg4G48q+vBksSjDAd0jf/z967D3/1NKvCtCn7Fq4e9ceTVzyl9/7rwsoM1e5ESOGWWvr/uDT/g4VdSmZPOS+NpBI1Lt7B7jM4CHbQD5budPPODVYy6yn/rlCBTwMbTA76+wPSBhwDHAM9OoYKODlpixFa/X1rSzYBTRaq/uF7eb9RqTHAH+3evV3i33AecgxUJxjYGgwrizgrUC3opEFA5LJDrt18QPBwLk11cgzT79obW0H3fNsVwVcOfkS27JlW+r+AevXbzJdWaAAgOrUzwFqmq3cyJGnuV8SUFtqSGX1ywC6V4DuYaCbAypPy/RrB5pq8K+pT7nKZWtX/fPrM0UAAQQQQAABBBCoTgG2CgEEEKhWgZOi2jANsOcv+IqtXPmwbdiw2d0zQAPxmTOnuibSrwpwmcFD05hGGzt2tM2dc6fNalka5JhddfUEN9Un8hrUq+5c5fQrAWpL6y9ccJ81N080ldd6+qUC5WmZyvj+KDgxb+5d7qcNc5VTPdn65zrJAwIIIIAAAggggEA1CbAtCCCAQE0IRBYMkJYG1bqB4LRpE909A25Z1JL6yUD9zOD4C89TsW5Jg//Va5aYksr5Ajt3vZn6yUDlZSunT+nVltZXCrejeeUpqYzKqi4N8pevuMm0XM81VRmlcDkty9aulpEQQAABBBBAAAEEKl2A/iOAAAK1JxBpMCBqvunTJ7nv/kddL/UhgAACCCCAAAII1LgAm48AAgjUuEBRggH6JF2ftNe4LZuPAAIIIIAAAgggECMBuoIAAggg8JFAUYIBH1XPHAIIIIAAAggggAACZROgYQQQQACBLAIEA7LAkI0AAggggAACCCBQiQL0GQEEEEAgHwGCAfkoUQYBBBBAAAEEEEAgvgL0DAEEEECgYAGCAQWTsQICCCCAAAIIIIBAuQVoHwEEEECgbwIEA/rmx9oIIIAAAggggAACpRGgFQQQQACBCAUIBkSISVUIIIAAAggggAACUQpQFwIIIIBAsQQIBhRLlnoRQAABBBBAAAEEChdgDQQQQACBkggQDCgJM40ggAACCCCAAAIIZBMgHwEEEECg9AIEA0pvTosIIIAAAggggECtC7D9CCCAAAJlFiAYUOYdQPMIIIAAAggggEBtCLCVCCCAAAJxEiAYEKe9QV8QQAABBBBAAIFqEmBbEEAAAQRiK0AwILa7ho4hgAACCCCAAAKVJ0CPEUAAAQQqQ4BgQGXsJ3qJAAIIIIAAAgjEVYB+IYAAAghUoADBgArcaXQZAQQQQAABBBAorwCtI4AAAghUugDBgErfg/QfAQQQQAABBBAohQBtIIAAAghUlQDBgKranWwMAggggAACCCAQnQA1IYAAAghUr0BRggGPPbrFtr3wSvWqsWUIIIAAAggggEBIoOOWL1ucU6irPc2yHAEEEECgRgQiDQZ0dh6zO25fYxs2bLblyx/KGhBIDxbo+ayWpaa0atUjWemzlfPtan2lcCBC88pTUt9UNlMDucplazdTPeQhgAACCCCAAAKVJUBvEUAAAQRqUSDSYMBTm56zcePG2rRpE+2665tt6/M7LJns6OK6e1er7dz5pn3yU00uX4Pw7dt32oqVN9vqNUtcngbfbib0kKvc2rWPu3a1/rJ759vGjZtN7ShpXnlapr6pbKhaN5urXK523co8IIAAAggggAAClSZAfxFAAAEEal4g0mCANBsbR2hidQMH2OzZ11giUe+e60Gfyv/wh/9uX/rSFVZXN0BZLmAwZcqlqeczZky2PXv3m8q6AiceFFjIVG7v3nes7UCHXXb5Ba6k2mtunmgKMChddNH5qT5MmnyxK5MeoMhVLlu76f1zFfOAAAIIIIAAAgjEVIBuIYAAAgggEBaINBigAfm6dU/Y1q07wm2k5nXlwNixo61pTKPL8wPqpjGj3HM9DAyCCJoePXpME5dyldu3r80aG4enBvxaIZEY4q5I0KBfVwMoT0kBCAUp2pOH9DSVspV7+60DrkxP/XOFeEAAAQQQQAABBOIlQG8QQAABBBDIKhBpMECfyt99z43WOHpEt3sG6FL8J5/8ibufgL6/r8vvM/Uq24A9vawvd/jQkfRF1hAEAzqDYML7x493W5ZI1AeBgq7BgG6FggyVa28/HMx1/e/bTQ8odC3FMwQQQAABBBBAoBwCtIkAAggggEB+ApEGA3yTo0YOt3nzrnVfAfDf/3/66Z/awoV/6O4LoPsDKDDw0os/96ukproKQAP5hmBAn8rMMOPLDR4yqNtSDdR1BcDJ/ft3W6arAHTlQLcFaRkq19AwOC3X3NcX8ulftxVDGQfbzd54vR8JA44BjoFeHQOhl5NYztbq61ssd0aoU7W6X0q13SHq0s/m0WKpHGiH93ccAxwDHAOlOwY0rszjT0DWIkUJBvjW9P3/o8fe6zaA1qfr+v7//v1JV3T3rj1uqgf/9QD/dQHlqbymmcqNGDHMWlv3B5/2f3SjwmTykPvaQCJR7+4doHWVfAChIS3QkMhS7vQzTtVqlqndcP9coQIehjaYnXX2ByQMOAY4Bnp1DBTwclOWorX6+lYW7AIardX9UqrtLmBXRFK00EpK5UA7vL/jGOAY4Bgo3TEwNBhXFvr3IFw+smBAMtlhty5+IBg4t6bqf+bpF62t7WDq5oB6roUalG/Zss39AsCVky8xzStPy9av32S6skABANWpnwPUNFu5kSNPc/X4ulV248bNLk/3MNDNAZWnunXPAk01+NfUp1zlsrWr/vn1mSKAAAIIIIAAAkUWoHoEEEAAAeuTpHQAABAASURBVAQiFTgpqto0wJ6/4Cu2cuXD7r4Ay5c/5D6VnzlzqmtCUw3Mdb+AuXPutAkTxrsbCTaNaTTdVFB5WqbCV109QZMgsLDHDepVd65y+pUAX/fCBfdZc/NEV7fW0xUIylPdKqN+qHLdw2De3LtM9y7IVS5Xu6qHhAACCCCAAAIIFEeAWhFAAAEEECieQGTBAHVRg2rdQHDatInungG3LGpJXRWgT9L1fPWaJe6+AeMvPE+ruKTBv8/XzxG6zOBh5643Uz8ZGDy1bOVy1a12fN1qX2VVlwb5y1fcZFqu55pmKqdl2drVMhICCCCAAAIIIBCZABUhgAACCCBQIoFIgwFR93n69Enuu/9R10t9CCCAAAIIIIBAXAToBwIIIIAAAuUQKEowQJ+k65P2cmwQbSKAAAIIIIAAAjEXoHsIIIAAAgiUXaAowYCybxUdQAABBBBAAAEEYiVAZxBAAAEEEIiXAMGAeO0PeoMAAggggAAC1SLAdiCAAAIIIBBjAYIBMd45dA0BBBBAAAEEKkuA3iKAAAIIIFApAgQDKmVP0U8EEEAAAQQQiKMAfUIAAQQQQKAiBQgGVORuo9MIIIAAAgggUD4BWkYAAQQQQKDyBQgGVP4+ZAsQQAABBBBAoNgC1I8AAggggECVCRAMqLIdyuYggAACCCCAQDQC1IIAAggggEA1CxAMqOa9y7YhgAACCCCAQCEClEUAAQQQQKBmBAgG1MyuZkMRQAABBBBAoLsAOQgggAACCNSmAMGA2tzvbDUCCCCAAAK1K8CWI4AAAggggIARDOAgQAABBBBAAIGqF2ADa1PgjO8ftzin2twrbDUCCMRFgGBAXPYE/UAAAQQQQACBKAWoCwEEEEAAAQRyCBAMyIHDIgQQQAABBBCoJAH6igACCCCAAAL5ChAMyFeKcggggAACCCAQPwF6hAACCCCAAAK9EiAY0Cs2VkIAAQQQQACBcgnQLgIIIIAAAgj0XYBgQN8NqQEBBBBAAAEEiitA7QgggAACCCAQsQDBgIhBqQ4BBBBAAAEEohCgDgQQQAABBBAopkBRggGPPbrFtr3wSjH7Td0IIIAAAgggUG0CbA8CCCCAAAIIlEwg0mBAZ+cxu+P2NbZhw2ZbvvyhbgEBBQlmtSw1pXlz77Ldu1rdhobzV616xOVleshWzrerepXCgQjNK09JfVPZTHXnKpet3Uz1kIcAAggggAAC+QtQEgEEEEAAAQTKIxBpMOCpTc/ZuHFjbdq0iXbd9c229fkdlkx2pLZsz979Nm/etbZ6zRJbvuImaxrT6AIG27fvtBUrb3b5KqzBt6bhpMF6tnJr1z7u2lW9y+6dbxs3bnaBBgUbNK88LVPfVDZcr+ZzlcvVrtYlIYAAAggggEBBAhRGAAEEEEAAgRgIRBoM0PY0No7QxOoGDrDZs6+xRKLePVdQoO1ARxAAGOWe+wcFDKZMudTq6ga4rBkzJpuCBumf4Gcrt3fvO6Z6L7v8Are+2mtunmgKHChddNH5qT5MmnyxK6O+uJkTD7nKZWs3vX8nqmKCAAIIIIAAAt0EyEAAAQQQQACBuAlEGgzQgHzduids69Yd3bazPXnIWlv32cIF97mvCegTdz+gbhrzUYBgYBBE0MpHjx7TxKVc5fbta7PGxuGpAb9WSCSGuCsSNOjX1QDKU1LAQUEK9UXPfcpW7u23DrgiPfXPFeIBAQQQQAABBD4SYA4BBBBAAAEEYi0QaTBAn8rffc+N1jh6hKXfM6BpTKPpqwG6XF+X7evy/ddf29MNJ9uAPb2gL3f40JH0RdYQBAM6g2DC+8ePd1uWSNQHgYJD3fLTM1Suvf1wera7giFTQKFbQTIQQAABBBCoMQE2FwEEEEAAAQQqRyDSYIDf7FEjh7t7A+gS+0zf/9dAW5fyv/zybr9KaqqrADSQbwgG9KnMDDO+3OAhg7ot1Sf/GrCf3L9/t2W6CkBXDnRbkJahcg0Ng9NyzXy7PfWv24qhjIPtZm+83o+EAccAx0CvjoHQy0ksZ2v19S2WOyPUqSLtl14dw9XYlxB1LGer0TyfbYrlzgh1Kp9toAzvmTkGOAayHQMaV4ZeUgqeLUowwPdC3/8/euw9dzO/++/7vhtI+2X6ysAnPvHh1wN27/roCgH/9QD/dQGV11UAmmYqN2LEMGtt3R982v/RjQqTyUPuawOJRL27d4DWVco2kM9W7vQzTtVqQf9z988VKuBhaIPZWWd/QMKAY4BjoFfHQAEvN2UpWquvb2XBLqDR6PYLf78yWRawK8pSNFOfayGvLNgFNFoL+4Bt5DWTY6B4x8DQYFxZwEtOt6KRBQOSyQ67dfEDwcD5w58LVEvPPP2itbUdNH1FoG7QAPvZiSsBdPd+3Vegacwou3LyJbZly7ZUoGD9+k2mKwsUAFCd+jlATbOVGznyNPdLAmpLbaqsvoKgewXoHga6OaDytEy/dqCpBv+a+pSrXLZ21T+/PlMEEEAAAQSqWoCNQwABBBBAAIGqEzgpqi3SAHv+gq/YypUP24YNm033DNBAfObMqa4JXSWgmwvOallqy5Z9z1parnaf3jeNabSxY0fb3Dl3uhsLqvBVV0/QJAgs7HEDfdWdq5x+JUBtqW7doLC5eaILQGg9/VKB8rRMZXx/FJCYN/cu99OGucrlatd1kgcEEEAAAQSqUIBNQgABBBBAAIHqFogsGCAmDap1A8Fp0ya6ewbcsqjF3XAvvEw3ENSNBDXIVr6SBv/KV9LPESpPaeeuN02f2mteKVs5fUqvtrS+0vgLz1NxlzSvPCWVUVktUPvqh5bruaYqoxQup2XZ2tUyEgIIIIAAAlUiwGYggAACCCCAQA0JRBoMiNpt+vRJ7uqBqOulPgQQQAABBBCQAAkBBBBAAAEEalWgKMEAfZKuT9prFZXtRgABBBBAILYCdAwBBBBAAAEEEAgEihIMCOrlPwIIIIAAAgjERIBuIIAAAggggAAC6QIEA9JFeI4AAggggEDlC7AFCCCAAAIIIIBATgGCATl5WIgAAggggEClCNBPBBBAAAEEEEAgfwGCAflbURIBBBBAAIF4CdAbBBBAAAEEEECglwIEA3oJx2oIIIAAAgiUQ4A2EUAAAQQQQACBKAQIBkShSB0IIIAAAggUT4CaEUAAAQQQQACByAUIBkROSoUIIIAAAgj0VYD1EUAAAQQQQACB4goQDCiuL7UjgAACCCCQnwClEEAAAQQQQACBEgoQDCghNk0hgAACCCAQFmAeAQQQQAABBBAolwDBgHLJ0y4CCCCAQC0KsM0IIIAAAggggEAsBAgGxGI30AkEEEAAgeoVYMsQQAABBBBAAIH4CRAMiN8+oUcIIIAAApUuQP8RQAABBBBAAIGYCxAMiPkOonsIIIAAApUhQC8RQAABBBBAAIFKEiAYUEl7i74igAACCMRJgL4ggAACCCCAAAIVK0AwoGJ3HR1HAAEEECi9AC0igAACCCCAAALVIUAwoDr2I1uBAAIIIFAsAepFAAEEEEAAAQSqUIBgQBXuVDYJAQQQQKBvAqyNAAIIIIAAAghUu0BRggGPPbrFtr3wSrXbsX0IIIAAAtUjwJYggAACCCCAAAI1JRBpMKCz85jdcfsa27Bhsy1f/lDWgEAy2WE//vFLKWgFD2a1LDWlVaseSeWnz2Qr59vV+krhQITmlaekvqlser16nqtctna1HgkBBBBAoFIF6DcCCCCAAAIIIFC7ApEGA57a9JyNGzfWpk2baNdd32xbn99hGvin865fv8naDhx02RqEb9++01asvNlWr1ni8jT4djOhh1zl1q593LWr9ZfdO982btxsu3e1uqR55WmZ+qayoWrdrMpmK5erXbcyDwgggAAClSNATxFAAAEEEEAAAQScQKTBANXY2DhCE6sbOMBmz77GEol699w/aHD93LPb/VMXMJgy5VKrqxvg8mbMmGx79u639E/wFVjIVG7v3neCwEKHXXb5BW59tdfcPNEUYFC66KLzU32YNPliVyY9QJGrXLZ20/vnKuYBAQQQQCB2AnQIAQQQQAABBBBAoLtApMEADcjXrXvCtm7d0b2lIEeD8Cef/Il9+StfDJ5ZasDfNGaUe66HgUEQQdOjR49p4pIfeGcqt29fmzU2Dk8N+LVCIjHEXZGg9nQ1gPKUFHBQkKI9eUhPUylbubffOuDKZGo33D9XiAcEEEAAgbgI0A8EEEAAAQQQQACBHgQiDQboU/m777nRGkePyHjPAH09QJ/uD0u7WiDcx2wD9nAZzftyhw8d0dMuqSEIBnQGwYT3jx/vkq8niaDtZFowQPnpSeXa2w+nZ7srGDIFFLoVJAMBBBBAoIQCNIUAAggggAACCCBQiECkwQDf8KiRw23evGvdVwD89//19QAtH3/heZpkTboKQAP5hmBAn7VQsMCXGzxkUPCs63998q8B+8n9+3ddEDxLJjtMVw4Eszn/q1xDw+BuZXy7PfWv24qhjIPtZm+83o+EAccAx0CvjoHQy0ksZ0v2+haz4yeWOyPUqVrdL6Xa7hB1LGdL5RC3dmK5M0KdipsX/eH9OcdAZR0DGleGXlIKni1KMMD3Qt//P3rsPXfJvr4+oHsF6K7++qUB/eKAv5nf7l17/CrmL7/3XxfQAl0FoGmmciNGDLPW1v2uDZVRSgaf/CcS9cGgv97dO0B5StkG8iqr+waojJIvd/oZp+qpZWo33D9XqICHoQ1mZ539AQkDjgGOgV4dAwW83JSlaDFf3+Jcd1mwC2g0znbV0LcCdkVZilaDcW+2oSzYBTTam21iHd5DcwxwDPhjYGgwrizgJadb0ciCAcngE/dbFz8QDJxbU4088/SL1tZ20D3/i9tucL8WoLv666oB/eKAbjB45eRLbMuWban7B+irBLqyQAEA1amfA9Q0W7mRI09zvySgttSQyuqXAXSvAN3DQIN85WmZfu1AUw3+NfUpV7ls7ap/fn2mCCCAAAJFE6BiBBBAAAEEEEAAgSIInBRVnRpgz1/wFVu58mHTp/769F8D8Zkzp7pP6LMNnpvGNNrYsaNt7pw7TVcNqD9XXT1BkyCwsMcN9FV3rnL6lQC1pfUXLrjPmpsnmsprPd2jQHlapjLqjyrXzwnOm3uX6esLucqpnmz9Uz0kBBBAAIGoBagPAQQQQAABBBBAoNgCkQUD1FENqnUDQX3qr0//b1nU4m64p2XhpPsG+AG/8jWvKwaUdLWA8pR27noz9ZOBep6tnAINakvrK6l+lVfSvPKUVEZlla9B/vIVN5mW67mmKqMULqdl2drVMhICCCCAQAQCVIEAAggggAACCCBQUoFIgwFR93z69EnuqoKo66U+BBBAAIHyC9ADBBBAAAEEEEAAgfIJFCUYoE/S9Ul7+TaLlhFAAAEEYihAlxBAAAEEEEAAAQRiIlCUYEBMto1uIIAAAgiUXYAOIIAAAggggAACCMRRgGBAHPcKfUIAAQQqWYDB0t/3AAAQAElEQVS+I4AAAggggAACCMRegGBA7HcRHUQAAQTiL0APEUAAAQQQQAABBCpLgGBAZe0veosAAgjERYB+IIAAAggggAACCFSwAMGACt55dB0BBBAorQCtIYAAAggggAACCFSLAMGAatmTbAcCCCBQDAHqRAABBBBAAAEEEKhKAYIBVblb2SgEEECg9wKsiQACCCCAAAIIIFD9AgQDqn8fs4UIIIBATwIsRwABBBBAAAEEEKgxAYIBNbbD2VwEEEDgQwEeEUAAAQQQQAABBGpZgGBALe99th0BBGpLgK1FAAEEEEAAAQQQQOCEAMGAExBMEEAAgWoUYJsQQAABBBBAAAEEEMgkQDAgkwp5CCCAQOUK0HMEEEAAAQQQQAABBHoUIBjQIxEFEEAAgbgL0D8EEEAAAQQQQAABBAoTIBhQmBelEUAAgXgI0AsEEEAAAQQQQAABBPogQDCgD3isigACCJRSgLYQQAABBBBAAAEEEIhKgGBAVJLUgwACCEQvQI0IIIAAAggggAACCBRFgGBAUVipFAEEEOitAOshgAACCCCAAAIIIFB8gaIEAx57dItte+GV4veeFhBAAIFqEGAbEEAAAQQQQAABBBAosUCkwYDOzmN2x+1rbMOGzbZ8+UNdAgLJZId98xv326yWpTZv7l22e1dralMVPFC+0qpVj6Ty02eylfPtan2lcCBC88pTUt9UNr1ePc9VLlu7Wo+EAAII9EaAdRBAAAEEEEAAAQQQKKdApMGApzY9Z+PGjbVp0ybaddc329bnd5iCABqAf/cfH7c5c6bb6jVLbOHCP7Q1ax51yzQI3759p61YebNbJgwNvjUNp1zl1q593LWrupfdO982btzsgg0KOGheeVqmvqlsuF7N5yqXq12tS0IAAQTyFKAYAggggAACCCCAAAKxEYg0GKCtamwcoYnVDRxgs2dfY4lEvdXVDbAb53/ZmsY0umWannPOmdaePOQCBlOmXOrKaOGMGZNtz979pgCCnvukwEKmcnv3vmNtBzrssssvcEXVXnPzRFOAQemii853fdDCSZMv1sQFIdzMiYdc5bK1m96/E1UxQQABBEICzCKAAAIIIIAAAgggEE+BSIMBGpCvW/eEbd26I+fW6pP4V1/9pQ0MggQq2DRmlCYuDQyCCJo5evSYJi75gXemcvv2tVlj4/DUgF8rJBJD3IBfVyXoagDlKSkooSCFghB67lO2cm+/dcAVydRuuH+uEA8IIICABEgIIIAAAggggAACCFSAQKTBAH0qf/c9N1rj6BHd7hkgCw3q9b392277tunT+4aGIcrukrIN2LsUCp74cocPHQmedf3fEAQDOoNgwvvHj3ddEDxLJOqDQMGhYC73f5Vrbz/crZBvNz2g0K0gGQggUDMCbCgCCCCAAAIIIIAAApUmEGkwwG/8qJHDbd68a91XAMLf/9dA+pZFLe7+AE8++RN76cWf+1VSUwUMNJBvCAb0qcwMM77c4CGDui3VQF1XAJzcv3+3ZboKQFcOdFuQlqFyDQ2D03LNfX0hn/51WzGUcbDd7I3X+5Ew4Bio3GOgrPsu9HISy9lafX2L5c4IdapW90uptjtEHcvZUjnErZ1Y7oxQp+LmRX94f84xUFnHgMaVoZeUgmeLEgzwvdD3/48ee8/dzG/tdx/32e7+AL//+1fa4Xc7Xd7uXXvcVA/+8nv/dQHlKYigaaZyI0YMs9bW/cGn/R0q4lIyech9bSCRqHf3DnCZwYMPIDSkBRoSWcqdfsapwVoW9D93/1yhAh6GNpiddfYHJAw4BirqGIjPOVvAy01Zitbq61tZsAtotFb3S6m2u4BdUZaipXKIWztlwS6g0bh50Z/4/K1nX7Av8jkGhgbjygJecroVjSwYkEx22K2LHwgGzh/9ZOAzT79obW0H7YyRp7kBu+7Mrx5oUP7ggz+yYcEg/MrJl9iWLdvcJ+5atn79JtOVBQoAqE59rUDTbOVGBnXrvgBqS+urrH5BQHm6h4FuDqg8LdOvHWiqwb+mPuUql61d9c+vzxQBBKpUgM1CAAEEEEAAAQQQQKBKBSILBmiAPX/BV2zlyodtw4bN7p4BGojPnDnVXQnw9RuuMd1ccFbLUps75073U4DjLzzP/cLA2LGjXZ6WWfDvqqsnBI8ffiKvQb3qbhrTaNnK6VcC1JbWX7jgPnc/ApXXevoFAuVpmcqoP6pcNzGcN/cuU4AiVznVk61d1UNCAIHqEmBrEEAAAQQQQAABBBCoBYHIggHC0qBaNxCcNm2iu2eA7g/gP0H3y1avWWJKfsCv9TSvPCX9HKHylHbuejP1k4F6nq2c2lBbWl9JQQaVV9K88pRURmWVr0H+8hU3mZbruaYqoxQup2XZ2tUyEgIIVLwAG4AAAggggAACCCCAQM0JRBoMiFpv+vRJ7rv/UddLfQggUOsCbD8CCCCAAAIIIIAAArUtUJRggD5J1yfttU3L1iOAQKwE6AwCCCCAAAIIIIAAAgikBIoSDEjVzgwCCCBQRgGaRgABBBBAAAEEEEAAgcwCBAMyu5CLAAKVKUCvEUAAAQQQQAABBBBAIA8BggF5IFEEAQTiLEDfEEAAAQQQQAABBBBAoFABggGFilEeAQTKL0APEEAAAQQQQAABBBBAoE8CBAP6xMfKCCBQKgHaQQABBBBAAAEEEEAAgegECAZEZ0lNCCAQrQC1IYAAAggggAACCCCAQJEECAYUCZZqEUCgNwKsgwACCCCAAAIIIIAAAqUQIBhQCmXaQACB7AIsQQABBBBAAAEEEEAAgZILEAwoOTkNIoAAAggggAACCCCAAAIIIFBeAYIB5fWndQRqRYDtRAABBBBAAAEEEEAAgRgJEAyI0c6gKwhUlwBbgwACCCCAAAIIIIAAAnEVIBgQ1z1DvxCoRAH6jAACCCCAAAIIIIAAAhUhQDCgInYTnUQgvgL0DAEEEEAAAQQQQAABBCpPgGBA5e0zeoxAuQVoHwEEEEAAAQQQQAABBCpcgGBAhe9Auo9AaQRoBQEEEEAAAQQQQAABBKpJgGBANe1NtgWBKAWoCwEEEEAAAQQQQAABBKpWgGBA1e5aNgyBwgVYAwEEEEAAAQQQQAABBGpDoCjBgMce3WLbXnilNgTZSgQqW4DeI4AAAggggAACCCCAQA0KRBoM6Ow8ZnfcvsY2bNhsy5c/1CUg4JfNallqSgoYeG/NK09p1apHfHa3abZy6XWHAxGaV71K6pvKdqs4yMhVLlu7wWr8R6ACBegyAggggAACCCCAAAII1LpApMGApzY9Z+PGjbVp0ybaddc329bnd1gy2eGM16593C1bvWaJrVh5s+3c+abt3tXqAgbbt+90eVqmwhp8axpOGqxnKxeue9m9823jxs2ubtWveeWpbvVNZcP1aj5XuVztal0SAhUhQCcRQAABBBBAAAEEEEAAgZBApMEA1dvYOEITqxs4wGbPvsYSifpUQGDS5Is/XFY3wCZMGG8a3CtgMGXKpVYX5GnhjBmTbc/e/Zb+CX62cnv3vmNtBzrssssv0Oquvebmia5u1X/RRee7PC307fsAhfKUcpXL1m56/1QPCYE4CdAXBBBAAAEEEEAAAQQQQCCbQKTBAA3I1617wrZu3dGlPQUEFBjwA34tbG3dZ8OHJzRrTWNGuakeBgZBBE2PHj2miUt+4J2p3L59bdbYODw14NcKicQQF4DQoF9XAyhPSe0rSNGePKSnqZSt3NtvHXBlMrUb7p8rxAMC5RegBwgggAACCCCAAAIIIIBAXgKRBgM06L/7nhutcfSIbvcMCPdGl+VrAP7ZC34jnO3msw3Y3cLQgy93+NCRUO6Hsw1BMKAzCCa8f/z4hxmhx4S7UqFrMCC0ODWrcu3th1PP/YxvNz2g4JczRaC0ArSGAAIIIIAAAggggAACCBQuEGkwwDc/auRwmzfvWnfPgPTv/ysQ8MMf/rtNnzHZF+8y1VUAGsg3BAP6LgvSnvhyg4cMSltipoG6rgA4uX//bssUhNCVA90WpGWoXEPD4LRcc19fyKd/3VYMZRxsN3vj9X4kDHp3DOBW826hl5NYztbq61ssd0aoU7W6X0q13SHqWM6WyiFu7cRyZ4Q6FTcv+sP7c46ByjoGNK4MvaQUPFuUYIDvhb7/f/TYe/6pu3T/wQd/ZF/92lR3jwB9yq6Fu3ft0cQlf/m9/7qAMnOVGzFimLW27nd1q6xSMnnIfW0gkah39w5QnpIPIDSkBRoSWcqdfsapWs166p8rVMDD0Aazs87+gIRB3scAxwvnS/gYKODlpixFw32tpfmyYBfQaC3ti3JsawG7oixFy2EShzbLgl1Ao3Ewog+8x+AYqNxjYGgwrizgJadb0ciCAclkh926+IFg4NyaauSZp1+0traD7rmW/90Dj9jXb/jwpoIuM3i4cvIltmXLNveJe/DU1q/fZLqyQAEAraOfA9Q0W7mRI09zv1KgtrS+yuoXBHSvAN3DQDcHVJ6W6dcONNXgX1OfcpXL1q7659dnikARBKgSAQQQQAABBBBAAAEEECiawElR1awB9vwFX7GVKx+2DRs2u3sGaCA+c+ZUFyBY/GcP2C9+8YYtXHCfzWpZ6tKqVY9Y05hGGzt2tM2dc6fLU3+uunqCJsF6e9xAX3XnKqdfCVBbqlf1NzdPdPVqPf1SgfK0TGXUH1WuryvMm3uX+2nDXOVytat6SAhEJ0BNCCCAAAIIIIAAAggggEBpBCILBqi7GlTrBoLTpk003TPglkUt7usAGlAvX3GTrV6zpEvSLwxoPQ3+/TKfp/ydu95M/WSgnmcrp0/p1ZavY/yF56m4S5r3+Sqjslrg+6Tleq5ppnJalq1dLSMh0CcBVkYAAQQQQAABBBBAAAEEyiAQaTAg6v5Pnz7Jffc/6nqpD4FyCtA2AggggAACCCCAAAIIIFBugaIEA/RJuj5pL/fG0T4CMRGgGwgggAACCCCAAAIIIIBArASKEgyI1RbSGQTKIkCjCCCAAAIIIIAAAggggEB8BQgGxHff0LNKE6C/CCCAAAIIIIAAAggggECFCBAMqJAdRTfjKUCvEEAAAQQQQAABBBBAAIFKFCAYUIl7jT6XU4C2EUAAAQQQQAABBBBAAIGKFyAYUPG7kA0ovgAtIIAAAggggAACCCCAAALVJUAwoLr2J1sTlQD1IIAAAggggAACCCCAAAJVLEAwoIp3LptWmAClEUAAAQQQQAABBBBAAIFaESAYUCt7mu3MJEAeAggggAACCCCAAAIIIFCTAgQDanK31/JGs+0IIIAAAggggAACCCCAAAIEAzgGql+ALUQAAQQQQAABBBBAAAEEEOgiQDCgCwdPqkWA7UAAAQQQQAABBBBAAAEEEMguQDAguw1LKkuA3iKAAAIIIIAAAggggAACCOQpQDAgTyiKxVGAPiGAAAIIIIAAAggggAACCPRGgGBAb9RYp3wCtIwAAggggAACCCCAAAIILacpEAAAEABJREFUINBnAYIBfSakgmILUD8CCCCAAAIIIIAAAggggEC0AgQDovWktmgEqAUBBBBAAAEEEEAAAQQQQKCIAgQDiohL1YUIUBYBBBBAAAEEEEAAAQQQQKBUAkUJBjz26Bbb9sIrpdoG2qlUAfqNAAIIIIAAAggggAACCCBQFoFIgwGdncfsjtvX2IYNm2358oe6BQRWrXrE5s29y3bvau2ysQoezGpZakoq02Vh6Em2cr5dra8UDkRoXnlK6pvKhqpMzeYql63d1MrM5C1AQQQQQAABBBBAAAEEEEAAgfILRBoMeGrTczZu3FibNm2iXXd9s219foclkx1uKzUInzFjsn3uc+e75/5Bg/Dt23faipU32+o1S1y2Bt9uJvSQq9zatY+7drX+snvn28aNm13AQUEHzStPy9Q3lQ1V62ZzlcvVrluZh54EWI4AAggggAACCCCAAAIIIBAzgUiDAdq2xsYRmljdwAE2e/Y1lkjUf/i8bkBq3mWceFDAYMqUS60uWK4sBQz27N1vCh7ouU/Zyu3d+461Heiwyy6/wBVVe83NE00BBqWLLjo/1e6kyRe7Mj5A4Z4ED7nKZWs3vX9BNfxPCTCDAAIIIIAAAggggAACCCAQZ4FIgwEakK9b94Rt3bojr232A+qmMaNS5QcGQQQ9OXr0mCYu5Sq3b1+bNTYOTw34tUIiMcRdkaBBv64GUJ6SAg4KUrQnD+lpKmUr9/ZbB1yZnvrnCtX6A9uPAAIIIIAAAggggAACCCBQMQKRBgP0qfzd99xojaNHZLxnQD4q2Qbs6ev6cocPHUlfZA1BMKAzCCa8f/x4t2WJRH0QKOgaDOhWKMhQufb2w8Fc1/++3fSAQtdStfGMrUQAAQQQQAABBBBAAAEEEKhMgUiDAZ5g1MjhNm/ete6eAZm+/+/LZZrqKgAN5BuCAX2m5T7Plxs8ZJDPSk01UNcVACf375/K8zO6CkBXDvjn2aYq19AwuNti325P/eu2YijjYLvZG6/3q8REn9lvHAMxOAZCLyexnK3V17dY7oxQp2p1v5Rqu0PUsZwtlUPc2onlzgh1Km5e9If35xwDlXUMaFwZekkpeLYowQDfC33//+ix9/zTblN9yq7M3bv2aOKS/3qA/7qAMnOVGzFimLW27g8+7f/wRoUqn0wecl8bSCTq3b0DlKeUbSCfrdzpZ5yq1ayn/rlCBTwMbTA76+wPKiTRT/YVx0DcjoECXm7KUjRuXqXqT1mwC2i0VA612k4Bu6IsRdkvZWHvsdFa3S9sN++tOAaiOQaGBuPKHl9ochSILBiQTHbYrYsfCAbOH/1s4DNPv2htbQdzNG925eRLbMuWbakbBq5fv8l0ZYECAKpTPweoabZyI0ee5n5JQG2pIZXVLwjoXgG6h4FuDqg8LdOvHWiqwb+mPuUql61d9c+vX3VTNggBBBBAAAEEEEAAAQQQQKCqBU6Kaus0wJ6/4Cu2cuXDtmHDZnfPAA3EZ86cmrOJpjGNNnbsaJs7506b1bLUlb3q6gluqk/kNahX3bnK6VcC1JbWX7jgPmtunmgqr/X0SwXK0zKV8f3RzwnOm3uX6acDc5VTPdn65zpZJQ9sBgIIIIAAAggggAACCCCAQO0IRBYMEJkG1bqB4LRpE909A25Z1JL6yUAtV5r51aluoK55nzT4X71miSnp5wh9/s5db6Z+MlB52crpU3q1pfWVxl94noq7pHnlKamMymqBBvnLV9xkWq7nmqqMUriclmVrV8sqONF1BBBAAAEEEEAAAQQQQACBGhWINBgQteH06ZPcd/+jrrd262PLEUAAAQQQQAABBBBAAAEEEDArSjBAn6Trk3aAYyBAFxBAAAEEEEAAAQQQQAABBBBIEyhKMCCtDZ6WWIDmEEAAAQQQQAABBBBAAAEEEMglQDAgl07lLKOnCCCAAAIIIIBAJAJjFk61OKdINpJKEEAAAQSK8zUBXEshQBsIIIAAAggggAACCCCAAAII9E6AKwN651aetWgVAQQQQAABBBBAAAEEakogzlfq+L7V1A6poo0lGBDznUn3EEAAAQQQQAABBBBAAAEEEIhagGBA1KJ9ry92NXTc8mWLc4odGB1CAAEEEEAAAQQQQAABBGIuQDAgFjuITiCAAAIIIIAAAggggAACCCBQOgGCAaWz7toSzxBAAAEEYn3Hcn0Pkl2EAAIIIIAAAghUqwDBgBLuWZpCAAEEEEAAAQQQQACB0gjE+Wuu6ltpFGgFgewCBAOy20SxhDoQQAABBBBAAAEEEEAAAQQQiJ0AwYDIdwkVIoAAAggggAACCCCAAAIIIBBvAYIBUewf6kAAAQQQQAABBBBAAAEEEECgggQIBvRyZ7EaAggggAACCCCAAAIIIIAAApUqQDAg/z1HSQQQQAABBBBAAAEEEEAAAQSqQoBgQM7dyMJqE9BPhcU5VZs324MAAggggAACCCCAAALxFCAYkL5feI5ABQic8f3jFvdUAYx0EQEEEEAAAQQQQACBmhUgGGBmNbv32XAEEEAAAQQQQAABBBBAAIGaFKjVYIDb2clkh61a9Yh1dh5zz3lAAAEEEEAAAQQQQAABBBBAoBYEaigY0HV3bnvhFVu44D577tntdv993ycg0JWHZwgggAACCCCAAAIIIIAAAlUsUN3BgCw7TlcEPPnkT2zx4uvt4kvG2YQrxttTm57LUppsBBBAAAEEEEAAAQQQQAABBKpLoOqCAfnunmGn1tvAugGu+Pjx59lVV09w8zwggAACCCCAAAIIIIAAAgggUO0C1RAMKHgfJRL1NmrkcLt32fes88ixgtdnBQQQQAABBBBAAAEEEEAAAQQqWaBCgwF9J9eVAHPmTLdXX/0l9wzoOyc1IIAAAggggAACCCCAAAIIVJBA5QQDioDakBhin/7MOfal5ivsjttX29697wTTNTarZalLuslgEZq1g+1mb7zer2JS+9fXWZxTIZb/60//xeKc8t2W//jtky3uKd9toVzhrwVxPh/Vt0L2aZzPR/WtkG3hnCz8WC7EN+5ldezHORXip2M/zqmQbeG85LyshvMyzuej71sh5yVlozsvNa7sy3g11sGAvmxYIes2NTXahCsutKOdx+yWRS22es0Sl8ZfeF4h1eRddmiD2Vlnf0DCgGOAY4BjgGOAY4BjgGOAY4BjgGOgZo6Bz/34fYtzqrQx2tBgXJn3IDRDwbgFAzJ0Mfqsxx7dYqtWPZKquL39kG359xdSz5lBAAEEEEAAAQQQQAABBBBAoJoFYhAMKD2v7hegGwguXHCfPffsdvvWohXW3DzRmsY0lr4ztIgAAggggAACCCCAAAIIIIBAiQXKEwwo8UZmak4BgWX3zreLLxlnK1bebMX6SkCmtslDAAEEEEAAAQQQQAABBBBAoJwCJQsGlHMjaRsBBBBAAAEEEEAAAQQQQKC8Am99ub/FOZVXp/StFzMYUPqtKbDFRKLeZs++xurqBhS4JsURQAABBBBAAAEEEEAAAQQQqFyBiIMBlQtBzxFAAAEEEEAAAQQQQAABBBCoFYG+BwNqRYrtRAABBBBAAAEEEEAAAQQQQKBKBHoVDKiSbWczEEAAAQQQQAABBBBAAAEEEKhJgXyDATWJw0YjgAACCCCAAAIIIIAAAgggUI0COYIB1bi5bFMlCDz26Ba74/Y11tl5rFt3d+9qtW9+437TtNvCDBmqY9WqRyyZ7MiwNHeW+qG28llXZbe98EruCkNL1S9t46yWpeaT+hkqUvCs+qk6VHfBK7MCAhEIrP3u43mfm765Uhy3Oic437w401oU0N/MeXPvSv290fxLL/7c/T3V368oTXo6pzkfo9SmrrgI6Dzy7+c01fuxYvRN57L+1haj7mx19tSmznm9X9Z2+ySPbPXlk6/31H2tI592KGPWNRiACAIxEWht3Wdv7X2nW2+2b9+ZMUjQrWAEGVddPcHuvudG069ORFBdqgq9qOpFc8qUS231miWpdNFvne/emOlFNVWYGQQQ6JMA51uf+Fi5igQ+97nzU39vlq+4yT57wW+4v3H6W1eqzeR8LJU07ZRKwAe39uzdnzq/9N5u1MjhNfGeToP2xX/2gM2ZM73L9stfQXj5aJ4UX4GT4ts1elarAnpBbWwcYc+/8LMuBBok79z5pg0bVh980n+oy7JKeaIXxR/+8N9t4cI/tPEXntel23pejOBDl0Z4gkANCXC+1dDOZlNjL8D5GPtdRAd7IfDUpuds3Lix7qfKw6sryPYHf/AFW79+Uzi7qub1vvzJJ39it/3lDdY0prHLtmn7b1nUws+3d1GJz5NwT7gyIKzBfGwE9MKqzuiFRlOl3bv22EXBJxt1dQP1NJV0KZa/LEmfuD/11H+YLi3SurcufsCee3a7KWqpTyS0kpb58poqqql8lVddeuFWPS+99HMLX4qlZSqvpOW+Ha3rk+rQMpVROz7fT3W1g4IZ6S+afnl4qv7qUk7VpaT2/XLVrTy1pTZVVtuobdU2K0/lVYbIrFdjWi4BHY86VnU8KunY1Lml49b3adu2V7pcwhxepjJaR+sq6bzwy1W3lvnzVs9VXimq801tqU21rdcLPU8/39LPSbVPQiDuAv481PGr80j91aBdfzd0rOu5jnd//Osc8OW0TEnrKl9J5fS3WvnpqZTno/qo/mg7tD3pfeE5AlEI6NjSB1iXXX5Bxuo++akml6+/Szom/TnlMoOHcF74PNKx68v6df3fuI5D7wZrmnufq3JKvqxbEDyoXuUrfXhOtga5H/5XfT39PQ6vr7LJ5KEPV0571Lmu9+v5XEGbbftUpW/Pn68qu3z5Q7Zhw2bTsmSyw11loe3RMq1DKlgg6woEA7LSsKDcAmPHjLZnnn7RdUMvuFuf32GfCl5Yh51a7/L0oBcJTXVJlpIuU9oYvHgoTy9Of3HbDXbxJeNSUUv/IqKyPqle/0L66i9+aVv/Y4ct+tYsqx9yiqpxKVc7rsCJB70wTpgw3l0qpRcvvYk6schNksELqvrlnuR40HorVz7sriDw/VRx9UMW+uOz7N757rIsbZOCC4rMalu1zSqrtGLlzaavIyhyreckBEotkAz+iN/+V6tNn5D4Y1mXT/5HcJ75vui82779VXfeqIyO5TVrHk3df0DHvcpqmZKurNH5ofNE+Vrfn7fh8ysZwfmm+rdv32mzZn3JdD7p9aIhMcS9pvjzbeDAAZZ+Tmo9EgJxEtA5pzfTSukDBH2Kp/NSf0/Wrn3c/d3Q1Wo6x3Q1m65a07mnpK+0+XNS5XV+6NzQMpXTJ4VtB7rfp6dU56M3V5/4++c1mBZD4OjRD+9tpb8BmeqvqxtgdcHfh/bgb9GVky+xLVu2pb7qqnOr88gxU8BA55HW1znkk/7WZHtvqnPZl9d7QZ1zyeBvrfJ0buoc9fXonNQ5rPZUpqe/x1pf9fj19X543bonrPPEtmqZT/pKr67k9c+zTbV94dcJ9Vl1apvjMFMAABAASURBVPvUJ60XPl/1ejRv3rU2bdpEd8VFT++ttT4pk0B+eQQD8nOiVIkENNDVmwi9uDSNGeXeYCtPnyjoBTWRqDe9YdELkH8BmTlzaqp3TWMa3Zv2VEZoRvXoxUiRRr0Z8kmfputFV0WHDRvqAgFqR8+VCmmnKeizXuz1Ajfzq1O7XTaVCAYRvj7VnS2pnxo8NQXb48v47dQfHxn83QOP2BkjTzO148v4qe+/3tTpDZ1eWP0ypgiUUsD/Eddx6NvV8ajvL/vn55x7pvnjW3k6fpubJ5rOA3++hJfrvND5oeUqn+m8VX4U55va1ycfeuOi16HZs6/pdh8RveHr6ZxUf0gIlFNA55x/g697Bug8Cvdn0uSL3TmnPH++6hz7z//8hc2dc2fqyh19YqcA3N6977i/0V+/4RrTOaD1NP39378y9Vx5PpXqfNTrh9rk758USMUU8EEAvS/L1I7ed2oQ3RC899P5VjdogP3s5d2u6I82PWv68EhPdJ4V8t70nHPONJ2vWjcRvC9ubBxuCjjo75XOTZ2j/j2uzl2dw2qjp7/HWl91hv/eqn79vVV+etJ7db0fT88PP5eBguXh1wnVqQ/vtgcfAmhe5XOdr009vLfW+qQTAr2YEAzoBRqrFFdAbyb0pkEvEHqDrRdOvWiOG3dOnxvWVQWKSPo3RH6qN/iqXMv9i7ueF5rUZ0VhFVzwlzuF69Dgva2tI/WJZ3hZIfMaTOkNly7fUuAh07raJkWH0z8BylSWPATiKKA3EPn0K9t5G9X51hQE5XTFzYMP/shdspipT/mck5nWIw+BuAgo2NXZedRa39xnflCgvukTOv+30k/1d66hYYgW551KeT7y9y/v3ULBPgjo/arep/qrWNOr0vtX5em9oab+6oCXX95l/qoA5etvWCHvTYcNq88YcFNdCq7rU3Z/rvqp/kZpeZSpKRikb9++s8vrRW/q7+l8lZ9ec7K9t+5Nm9W0Tl+3hWBAXwVZv6gC+kROn7S3HegIPmUf5dpSJFKDBL04KEPRRE2VdBnU6tU/1Gy35F+09b0rv7Cz85j7GcNsA2qVK6Qd//1LRVXVnt5cqQ6flPelL11hy5Z9z9Lb1HMN7vUmTNutTyK1PX5df6m/or9qpykYoOjSZb04+jJ+qrp0WZY+3dFlknqx9suYIlBKgabgzYLOYR2Tvl0dm/4yR+Xpkwx/fOu5zoGNGzeb3jhlOv/8cp0nKp8tRXG+KTioyyb1yY8+2dBrkdoPt6nztKdzMlyeeQTiJqC/hbqUuKXlatNVOf7vpM4xnYvhY17nr84JnV8aCOkqNa2vbdJUQTNN9TycVL6vf//yOR/1WqM+8vcvrM98sQT0Cb3eY+mcCLehY1Dv42bMmJzKbgret+nqgHvu/id3VYDOCSWdR/6cU2GdP/pASceynueb/N/L9L+nupeU/k419fD32K8ffl+tc1/bkakPKq/3mLqHjuoPl9H2axuUp+3L9DqhD/m0jSqb63zV31fVn+29tdqosRTp5hIMiJSTyvoqoDfcehFsSHz4iYM+SdBzvSFJJD66V4BvR9FEzfvLofQ94uZpE5WVMSkyqhclX16XT+mFTC9CGVc4kZlvO6pffVC9esFvCl74T1SRmihP34nWi6vvh6Ya1Cvyqe1UGV1CpaCBlikpAKJ+aJnKKE+BDw2YUpWfmNH2qLzKaCB2WZab25wozgSBSAR0OeRtt307dTmx3hzpWPXfOdTxqKRjU5cs+0b1SYbW1TIlvbHQoETHusrouNdUy5TSl2tZtqQ6+nK+6Y2azjG1uXDBfe6u0dqmcHtqQ3nqW7ZzMlyeeQTiJHDs2Ht2/33fd4MTHcv6+6G/kzp/9Vznoo5/Hd9KOn/9Oam/efr7rL95WqapbvSrTzozbaPqK/b5qP6rj+oPf/8y7QXyohTQ3wjdNV/njI45n3QM+vd04fb09+QznznX3SvA5+s8Cq+v8yif96Z+/fBU56ba9v3QuatzWOee/k719PdY66u+8PpTvvB501d1lZ+edL7pPj7h96taV+XkIh9tX/rrhN8+re/7m+181fo9vbdWe9Wdird1BAOKZ0vNvRDQC5VePDTV6noR0XO9EOi5kl44/IuVnmveXwalF95Jkz5nvrzW13Jfn8prmS+vqepTvsqorNbRc71whr+Pr2Uqr5TejupUPapDy1RG5VVPphQup7JK6eXVvr7XqWVK4eVqT3larnJqQ3WqjO+/5lVG/dEylSEhUEwBf8zpuFPSc7Wn40/HofKUlK9zS8eulum5Pj3RMqXwca31lVRGy5TCy/36/rhX2fSkMuH2VYfqC5dTX1SvlimFl4eX6dzTeqpTZXy7ytd6qkPlVYaEQFwEdEzqnEvvj/LO+2ST6e+s/ob55TqedXzrudbVca3jW8nna5mSyirfJ/0NVhl/bqhMOOncKfb5qPbVH7Wj9sLtM49AMQTSzwMdg5na0fl04/wvW/r5kb6+Px91/KouX17r67wN163nyvd5Kq/jX0nnbniZ6tN5oWVKKtvT+jqnVcbXnz5V/WpH9fmk7QmX03O/TFO/fSqjPihP/VL/lKflWkfzytMylVFZ5dVEKtFGEgwoETTNIIAAAggggAACCCCAAAIIIJBJoBx5BAPKoU6bCCCAAAIIIIAAAggggAACtSxQ9m0nGFD2XUAHEEAAAQQQQAABBBBAAAEEql8gXlvYp2CA7jCpG8zoBm/x2ix6gwACCCCAAAIIIIAAAggggECZBWLcfK+DAfopCN1Z+blnt7u70KYHBPQzEUradgUN9JNp+omJTOV010klBRZUPlNSXSqjFC7n61b+vLl3mX56wq+vPipfKVPbPZVTX7We1ldSfX4d9Sf83OczRQABBBBAAAEEEEAAAQQQqF2BStnyXgUDNAB/8smf2OLF19vFl4yzCVeMt6c2PZfaZg2i9TMR4Z8zW7DwDy39p2Y0mN6+faetWHmz6Q6RqkCDbE3DKVs5tfN3Dzxif/AHX3Dr66ct1qx51NQ/BQU2btxsy+6d75bpJy3Wrn08XK2bz1VO5bWe+qZ6VJ/Ka0Xlb9/+qmZJCCCAAAIIIIAAAggggAACtStQkVveq2CAtlQD+4F1AzRr48efl/opN2UcPXpMExs48MPl+kmIgQM/7vLCD1uf32FTplya+nkN/bSUggga5OdT7vXX9rp1P/mpJldcP21x0UXn2+5de2x7EGTQvNrWwkmTL9bEBQrczImHbOVee22PtR3oMB/QUD3NzRNdvVq1ITHEOoPtTO+rlpEQQAABBBBAAAEEEEAAAQSqWaDyt61XwYBEot5GjRxu9y77nnUe+XDgH6ZoTx6ysWPPdAP1cH543g+im8aMSmUPPBE88MEELchVbt/+tqCd0V3aaWwcYa2t+9ygX5/eqw6luiBwURfUr77puU+6iiBTudY391lj43DTtvqyiSAAoPJ6nqmvyichgAACCCCAAAIIIIAAAghUoUCVbVKvggEyuOrqCTZnznR79dVfdrtnQDIIBnQeOapiBaVsA/b0Sny5dw93pi8KBu9DXCCg24IgQwN79S2Yzflf5To6jnQr0xAEA/zVAOrDsGFDu5UhAwEEEEAAAQQQQAABBBBAoDoEqnkreh0MEIoGx5/+zDn2peYr7I7bV3cZhOsTepUpJOkqAA22VW+u9Xy5UwbXdSumwX4iUd8tXxnJZIcLFmg+V1K5+vpB3YroqgJdXaBAQLeFBWQcbDd74/V+JAw4BjgGOAY4BjgGOAY4BjgGOAY4BjgG4nUMVMz+0LiygGFot6J9Cgb42pqaGm3CFReaBss+r6epH1Dr+/2+rP96gL8EX/m5yo0YPsx27nzTFBxQWSV9RUCBCAUEdD8A5SmpTKZAQ7ZyjaP1dYP9XQIcyeShIJjwYaBB9bW1HVTVBaehDWZnnf0BCQOOAY4BjgGOAY4BjgGOAY4BjgGOAY6Bsh8DlTk2GxqMKwsejIZW6FUwQHf8D/+8X3v7Idvy7y+EqjX3vf0uGRmeXDn5EtuyZVtqML9+/SZ3LwIFAHTX/vvv+75blq3ceZ/8hNUNGmA/e3m3q13rbN26w3QfAt34T8GAZLLDLfO/dqDBv8s48ZCt3Cc+Mcp0L4Fnnn7RlVQ9+jUB5bmM4EF1hQMXQRb/EUAAAQQQQAABBBBAAAEE4i5A/6xXwQDdL0A3EFy44D577tnt9q1FK6y5eWIwCG90pOEb7bmMLA9NYxrdDQDnzrnTZrUsdaVUt2Y0kJ8wYby7OWCucvoFgnXrnnDrL1v2PWtpudp9eq+Bun6pQH1U3apv5sypqtoUNJg39y7TTxbmKqdfINB6Wl/1hLfxrb3v2NHOY65/rlIeEEAAAQQQQAABBBBAAAEEYitAx7oK9CoYoCo0aF9273y7+JJxtmLlzTb+wvOU7VJD6EZ7LiN4SCTqbfbsa7oNnlXP6jVLTEnLg6LuagBd0u9/MlB5mcopX/Xefc+Nbv3lK25KBSS0TH1SvUq3LGpJta3ggspqea5yukJB62l9JV9e6yRDXxnQcxICCCCAAAIIIIAAAggggECsBOhMDoFeBwNy1Ok+mdeN9vTpea5y2ZZpEK5P/DXNVqac+bpfwNbnd5i+YlDOftA2AggggAACCCCAAAIIIIBAWID5fAX6FAzQp/L6ND/ToH3mV6d2+ZQ+3w5VQjltr7Zb218J/aWPCCCAAAIIIIAAAggggEDVCrBhvRLoUzCgVy2yEgIIIIAAAggggAACCCCAAAJ9EGDVvgsQDOi7ITUggAACCCCAAAIIIIAAAggUV4DaIxYgGBAxKNUhgAACCCCAAAIIIIAAAghEIUAdxRQgGFBMXepGAAEEEEAAAQQQQAABBBDIX4CSJRMgGFAyahpCAAEEEEAAAQQQQAABBBBIF+B5eQQIBpTHnVYRQAABBBBAAAEEEEAAgVoVYLtjIEAwIAY7gS4ggAACCCCAAAIIIIAAAtUtwNbFTYBgQNz2CP1BAAEEEEAAAQQQQAABBKpBgG2ItQDBgFjvHjqHAAIIIIAAAggggAACCFSOAD2tHAGCAZWzr+gpAggggAACCCCAAAIIIBA3AfpToQIEAyp0x9FtBBBAAAEEEEAAAQQQQKA8ArRaDQIEA6phL7INCCCAAAIIIIAAAggggEAxBai76gQIBlTdLmWDEEAAAQQQQAABBBBAAIG+C1BDdQsQDKju/cvWIYAAAggggAACCCCAAAL5ClCuhgQIBtTQzmZTEUAAgd4I7N7VavPm3mWzWpa69M1v3G/JZId1dh6zO25f45Lme1N3Mdbx/X3s0S1Zq/dl/DZpuu2FV7KW72mBPOSyatUjPRUt2XJtf2+2y9to/b50VsdET8eH2lAffZKhLHvbrtZVHeXeD74ffrvkII98tkvHodbTNJ/ylEEAAQT6LkANtSpAMKBW9zzbjQACCBQoMG3aRFux8mYbNmyo/d0Dj9jRo8cKrCEexTUAve3hhyRzAAAJ0ElEQVS2b9usWV+y1WuWuDRv3rW2fPlDsQtsWC//aeC5fftOt/bW53e4aZwe1D8NkLds2WbL7p3v9oH2xTnnnmkLF9xn2kdx6m9v+3LxJePc9rW1HbSnNj3X22pYDwEEEIhegBoRCAQIBgQI/EcAAQRqUaDjli9btpTNo65ugA07td40uDl69L1sxWKbr0+9n3zyJ6bAxvgLz0v1U/MajN6yqMW0jakFMZoZs3CqZUqZuvjW3nestXWfW/Rf//mqabvdk5g8aGCs/s2ZM90SifpUr2bPvsYFBq66ekIqL24zZ3z/uGVK2fo5cOAAUwBNwRkFQbKVIx8BBBAotgD1I5AuQDAgXYTnCCCAAAJZBTSYaTvQ4QY3Awd+vEs5LdOnvbrEOZz0KW+mZfrqgR+k6rLu8DqaD18mrXnl+aTyvvH0uleufNgv6jbVgEyZ48aN1SRrSr/MO9xe+rKVK9e7KyUOHDhozz273X2qnd5fPc/aWBEW/GjTs67WL3/li27qt9s9CR7St8HvC+WvDPyOHDlqGzZstmd/8l/uagntVzlrf6ms9mlQTeqrIn6/+KlfrjLpSfWoP42NI+yMkaelL+7yXP3RZf++3krbD9oYH5jRMecDTToe/Db5qbZT26t1wkmWvoyf+v2RqZ5cRtp32oe+fpX1dWqq+vwypgggUBUCbAQCOQUIBuTkYSECCCCAgBfQ4HDunDvdVQFfv+EaGxh84umXabp27ePu0+jFi693n+7qEmnlh9OgQQNNy3VpuAZGftDqy+hyfX0V4dxzzzJ9gq+BowYouoRfy/TpvdZ99Re/NA1ktF56u+ece6ZpMKtl6WnP3v3uk/+GxJD0RannGpDd/lerTfVkam/9+k2urPqh5XPmzDB5nHrqUNM2X3b5BbZu3RNuXsuVdOWBW6kED+q/fD79mXNs0qTPmaYafMtSzWt5ePvUP5V58MEfuX2qT+u1n3T1xGcv+A2tkjWl22v7sxY+sUBfL9GVJbrCRMfAiexuk/R+ylvb5fd73PeDNkjBIX0lRfMKBmiqwfjq1T9MHR86H+StZelJx77OO+0L7SedA+ll9FzuWq5y/kqQdD8t9/tZx4Ic5SlXLVPdOs/UpuokIYBApQrQbwTyFyAYkL8VJRFAAIGaFtBAQ4OGu++5scul3UJpbz9kGlhosNE0plFZduXkSyx9kOM/DVYgQZdO6yoDDUy0ggbTTWNGucG6BooaMGrg6L/zroGKPr3Ud8r1Kbzae+21PXm1q/qVRo0c7j7Nbk8e0tOM6ZmnX3Rl1H8VSCTqbcKE8eYHWapD7asfGlCpTDj5bdNAUP0t9eBq9649pv5d9Fvnu25p+otfvGE/e3m3e56+fcrU5fmFfkVCg03tg572ueoPJ+8T3vfh5X4+vZ+Vth+0HX6QLqNly77nvq6hwIyW+eOrKThftFx56UnHvs4LBZi07JOfarJzg0CZ5sNJ+1jPdX4pEJYMju90Py33+1nnlfadjhMdxzpOdX6pjNrUlIQAAhUkQFcR6KUAwYBewrEaAggggEDpBDQg8p9gKiChpKDE0KGDC+qE/3TWD8gKWvlEYX2fXZ+i6qkG/OkBAX3arYG1BoIqo0FWqQICCqzoigrfbhwHefLRftA9A3QJvframxTn/ZC+PRqs+0F6+rJyPtcxqnMpnBQwKGefaBsBBPIToBQCUQgQDIhCkToQQACBGhdoaBjiLqv3n56LQ18B0ABI831JGkjpE0x/WXgy2eG+x66pPi0+59wzU5/aq51c7epT2ClTLnXfhw8P0DWvgbMG9voUVgNW1aP61I7ueq9Pb7W+8nTZv4ITClLoeaakQZUPGmRaXow8Da41yPZXcfhBngZ9+iRY25K+feqHtlvfTdd8OMkhfJVGMvjEWftUn0AXah+ud9Lki0116P4EyWB/+mXqh/aD9kd6P1WuUvaD3x4/1T7RVTKJxBBTIET5/vjS1wZ03igvPfljX5/ya5mu7tBVHprvKaX7qbx8tZ/9vlMwS9ZapqmWa56EAAKxFKBTCEQuQDAgclIqRAABBCpDoP6O71u21Jst0OBXA2Z9R1oDOg00elNP+joaeGtQrfpUry5rVpmXT1z2Xmi7/hNlfWKv+pQ0rzZUlwZKi741y339QMvUngIOWqZP3nXzNp+vfsyYMVmTVNLgTjdqUxnVq4G4tiFVoJczu5Y9bplSuDp/xYMfcPpluiRdfdegMn371E8NRvv16+e+HuHX8dOZM6e6G0bKQdujQIPfHpn0Zp8ryKCrJ+SqetUHJQUsFGRR/en9VDmVV5valnLth7e+3N8yJe8VnvpjVt/7109ZKpiktHDhH7oAlrZZ54sCLOH1/LwcdFy69VuWup+/9Mt6mqb7qa3wfpajjk3tUy3TtG7gAPdVhp7qZjkCCJRKgHYQKK4AwYDi+lI7AgggUPECGrwsX3GTaRAd3hg/oNOgTvNapgGG/zTaT7WelquckuaVNK+kea2ny/41gPH1hJ9rUOTr01Tr/fZvf1ZFXdL6yg8ntesWZnhIr0/rKc8XVT/UvvKVVL+Wqa9qW3lKKqOySppXOe+l5UrK07qlSNpm7Sv1Idyenitfy5Xv+6v+KWnZ1Ksud/drSC+bvs2+DtWjpO1THeGkMn49eWleZdNT+royVN98Oc0rz9et8lqm+lSvz1cZlVXSvMr57fBllKd1S5F8P3zbmoaPr/S+abn6rfVUTs81VV811fNw0rbLwC/TNFzWP1d9qtevG97PKi8Tv0zTmV+dauqblpEQQKBMAjSLQAkFCAaUEJumEEAAAQQQQAABBBBAAIGwAPMIlEuAYEC55GkXAQQQQAABBBBAAAEEalGAbUYgFgIEA2KxG+gEAggggAACCCCAAAIIVK8AW4ZA/AQIBsRvn9AjBBBAAAEEEEAAAQQQqHQB+o9AzAUIBsR8B9E9BBBAAAEEEEAAAQQQqAwBeolAJQkQDKikvUVfEUAAAQQQQAABBBBAIE4C9AWBihUgGFCxu46OI4AAAggggAACCCCAQOkFaBGB6hAgGFAd+5GtQAABBBBAAAEEEEAAgWIJUC8CVShAMKAKdyqbhAACCCCAAAIIIIAAAn0TYG0Eql2AYEC172G2DwEEEEAAAQQQQAABBPIRoAwCNSVAMKCmdjcbiwACCCCAAAIIIIAAAh8JMIdA7QoQDKjdfc+WI4AAAggggAACCCBQewJsMQIIOAGCAY6BBwQQQAABBBBAAAEEEKhWAbYLAQS6CxAM6G5CDgIIIIAAAggggAACCFS2AL1HAIEeBE4EA/q91n7wMSNhwDHAMcAxwDHAMcAxwDHAMcAxwDFQmccA+439xjGQ7zFg1u+1/x8AAP//W/m9TgAAAAZJREFUAwBWsvbauj5snwAAAABJRU5ErkJggg==">
          <a:extLst>
            <a:ext uri="{FF2B5EF4-FFF2-40B4-BE49-F238E27FC236}">
              <a16:creationId xmlns:a16="http://schemas.microsoft.com/office/drawing/2014/main" id="{C4F47EA4-2466-4641-9532-E734EC57107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</xdr:row>
      <xdr:rowOff>0</xdr:rowOff>
    </xdr:from>
    <xdr:ext cx="304800" cy="304800"/>
    <xdr:sp macro="" textlink="">
      <xdr:nvSpPr>
        <xdr:cNvPr id="4" name="AutoShape 3" descr="data:image/png;base64,iVBORw0KGgoAAAANSUhEUgAABAMAAAF6CAYAAABsq5GAAAAQAElEQVR4AezdD5xU1X3//w9iAouw7KCgsKhZ0H5NJInFGjVVfPD7gSS/ollqwTbpl2TRlgi0P4Hkp5Iipbb++SpqW8DSJtDQNCj+DERtHxr8lm/R/KJFibZg/CYCalxQkJ1lQRaMxN99Hznj3dmZ2ZndOzN3Zl48OHPvnHvuOec+772zcz5z585Jxj8EEEAAAQQQQAABBBBAAAEEEKh2gS7b54IBe9+++wMSBhwDHAMcAxwDHAMcAxwDHAMcAxwDHAMcAxwD1XQMZNuWe3a7YIDCAw1DrzISBhwDHAMcAxwDHAMcAxwDHAMcAxwDHAMcAxwDFXwM5DG2N/vgE6lggAICJAQQQAABBBBAAAEEEEAAAQQQqCyB3vSWYEBv1FgHAQQQQAABBBBAAAEEEEAAgfIJ9LllggF9JqQCBBBAAAEEEEAAAQQQQAABBIotEG39BAOi9aQ2BBBAAAEEEEAAAQQQQAABBKIRKGItBAOKiEvVCCCAAAIIIIAAAggggAACCBQiUKqyBANKJU07CCCAAAIIIIAAAggggAACCHQXKEsOwYCysNMoAggggAACCCCAAAIIIIBA7QqUf8sJBpR/H9ADBBBAAAEEEEAAAQQQQACBaheI2fYRDIjZDqE7CCCAAAIIIIAAAggggAAC1SEQ560gGBDnvUPfEEAAAQQQQAABBBBAAAEEKkmgYvpKMKBidhUdRQABBBBAAAEEEEAAAQQQiJ9AZfaIYEBl7jd6jQACCCCAAAIIIIAAAgggUC6BKmiXYEAV7EQ2AQEEEEAAAQQQQAABBBBAoLgC1VY7wYBq26NsDwIIIIAAAggggAACCCCAQBQCVV0HwYCq3r1sHAIIIIAAAh8JrFr1iM1qWWrbXnjlo8wizSWTHfbNb9zvkuaL1AzVIoAAAgggELFA7VRHMKB29jVbigACCCBQBoHHHt3iBuAahPeU7rh9jXV2HitDL2kSAQQQQACBGhao0U0nGFCjO57NRgABBBBAAAEEEEAAAQRqVYDtNiMYwFGAAAIIIIBAEQWuunqCrV6zJJVWrLzZzj33LBs0aKAtXnx9Kl9lblnUYnV1A4rYG6pGAAEEEECgZgXY8DQBggFpIDxFAAEEEEAAAQQQQAABBBCoBgG2IZcAwYBcOixDAAEEEEAAAQQQQAABBBCoHAF6mrcAwYC8qSiIAAIIIIAAAggggAACCCAQNwH60zsBggG9c2MtBBBAAAEESibwwQcf2Kuv/tJWrFhvf/ond6d+nUDzytMylcnUIf2MoP8Vg+ee3e6KLF/+UKoO/dqBy0x7+PWvf20/3faK3XP3P9kNX789VV5t/v3f/8B272o1tanpvLl3WSG/hHDkyFH73j/9q6v3ull/YX/2rZW2fftOV19aN3iKAAIIIIBAJgHyIhAgGBABIlUggAACCCBQLIH29kP2N3+9zg22X3j+Z3b48JFUU5pX3u1/tdr++v51prKphX2Y2bNnv91227ftb//2IXv55V127NivUrWpzWd/8l/2l3/5HfvHNY/Ze796P7Usnxmtf++yf7Z/+7etrl4FFNTefff+s/3gB/9m779/PJ9qKIMAAgggUHMCbHDUAgQDohalPgQQQAABBCISeOeddvfJ/Esv/cIGnTLQfvd3/w9bdu98+87qW13SvPJOGVxn//mfv3BltU64+fEXnpf6xYKLLxnnFs2bd20qT7924DJPPOza9abdded37fXX9lp9/Sn232f+jv3133zDlVe7vs1BQX+efvqntva7jwcD+PwDAv/fj18ytTF8eMKWLPlj+/Z3Ftuib82yYcPq7V//5cf2P5/6jxM9YYIAAgggUPMCABRVgGBAUXmpHAEEEEAAgd4JvPfer+yf1v6L6VPzc845M/ik/gabetXllkjUW79+/VzSvPL+/M9nm8qo7Orv/NA6O4/1qtG2toP27X/YaIcOvWufu3ic3XnXn9rEib9lQ4ac4urr16+fa19t3nnnn9gnP9lke/e+Y++9l38wYPdre1xdv/d7/6ed/YmRdtJJJ7m+33Tz1+yyyy6wCRN+0y3nAQEEEECgNgXY6tIJEAwonTUtIYAAAgggkLfASy/+3F2if/rpw+yPZ/+uNTQMybruqacOdWVU9n//79ftpz99JWvZXAs2b37e3nrrgP23/3a2fXXm79jAgR/PWvyUU+rshjm/5wb0WQvlWHCk82iXpaed1mAts662ukEDu+TzBAEEEECg6gXYwDIJEAwoEzzNIoAAAgggkE3g+PFf27PP/pdp+oUvft40UM5W1uerjMrqO/i6j4DW9cvymb57uNN0E7/+/U+yL3zxt/MalA8ePMgmT77YXaWQTxsq8+lPn+PK/78P/0976aWfc9NAoZAQQACBmhNgg+MgQDAgDnuBPiCAAAIIIBASOHKk095+u81dnj927JmhJblnVVaX9Gtd1ZG7dNelyfZD1nagw04//VQbM2ZU14U5np1zzlnu3gI5inRZ9LnPjXNfB9AvCvzNXz9od/+PtfbG63sJCnRR4gkCCCBQhQJsUuwETopdj+gQAggggAACNS6gO+ofO/aeffzjJ9spp+R/2bzKah2tqzoKYfzVe7+y48ePB+3V2cknn5z3qh/7WP+gfP+8y598cn/76tem2nXXf8ndFPGVV16zpUv/wZYvX2/vvtuZdz0URAABBBCIvwA9jLcAwYB47x96hwACCCBQgwIaMA8Y8HF3Y7533z2at4DK6mZ+Wld15L1iUPBjH/+Y9e/f3w3I338//xsC/upXx+39An8O8KSTTrLPf/6zdvfdN9qMGZNdUOCn216xu+78R9NNDIPu8B8BBBBAoDIF6HUFCRAMqKCdRVcRQAABBGpDYNCgOjv99GF2+PARe+ONvXlvtMpqHa2rOvJeMSiYaBhiw06tt7ffPmC7dn14x/8gu8f/r776hnV0vNtjuUwFBg78uH3hi583/TLBb/zG2fbmm/tMNzHMVJY8BBBAAIG4CtCvShU4qVI7Tr8RQAABBBCoVoH+/U+yC3/rk27z/vVffmwHDx5287keVEZlVUbrqg7N55tOGVxn48aNNd148F8ef9o6j/R8RYICD5s2Pdfn7/ufckqd/c7Uy0x9fv21vaafVcy335RDAAEEECiDAE1WhQDBgKrYjWwEAggggEC1Cfzmb57nfuJvz5799verfuAu38+2jfquvcqorH4WUOtmK5srf+LE37IzzjjVXn31l/YP/7ChxzZXf+eHpsF7rjrDy/R1ggcf/JH9/Oevh7PdvIIZv/71B+5XDD72sZNdHg8IIIAAAvERoCfVJ0AwoPr2KVuEAAIIIFAFAnV1A2zWdV9yXxf42c922803/61t+tGzlkx2uE/i9ROCmleelqmMvh6gdbRubwiGDRtq1/9Rs/sVgxdf/HnWNh9/7Gm3TGX06wX6RD+f9hRk+F+bt5p+ReCZZ1509xpQgEDzD6570lXx2c+e63560D3hAQEEEECgnAK0XeUCBAOqfAezeQgggAAClStw2mkNdtPNX3NXCLx7uNPWBQPmhQvus+tm/YVLmleelumKAJXVOn3Z4jFjRgdtftXOPPN0U72qX+2E2/zBD/7Njrx71C659NM2++u/a7phYT5tqo9XX32FHT36numqgj/+o780Jc3rpwY///nPmH56MJ+6KIMAAgggUAwB6qwlAYIBtbS32VYEEEAAgYoTaGgYYt/8f2bazbd8zd1HoG7QRz81qHndH0DLVEZlo9jAUaOG25I//2P7kz+51j71qTHBYP9jrtp+/fpZIlFvl1/+m7b0L75uf/RH06xu4AC3LJ+Hfv362Rf/r99223LOOWeavg7Qr18/UwDjq1+bal/92lUF/UxhPm1SBgEEEECgBwEW16wAwYCa3fVsOAIIIIBAOQR0Cf8ti1ps+YqbrGlMY15dOOmkk0x32587d4atCNZbvWaJKWleeVqmMj1VNnv2NW698Ree11NRU32/Of48+8Y3/7s98HeL3HrfWX2rLbt3vrXMutpGjx7hLufXNmhbtE3aNl+xggZ333OjKWne5/fr188UCFj0rVm26u+/Zarzf9z9f9sVV1xIIMAjMUUAAQSKLED1CEiAYIAUSAgggAACCCCAAAIIIIBA9QqwZQh0EyAY0I2EDAQQQAABBBBAAAEEEECg0gXoPwK5BQgG5PZhKQIIIIAAAggggAACCCBQGQL0EoECBAgGFIBFUQQQQAABBBBAAAEEEEAgTgL0BYHeChAM6K0c6yGAAAIIIIAAAggggAACpRegRQQiESAYEAkjlSCAAAIIIIAAAggggAACxRKgXgSiFyAYEL0pNSKAAAIIIIAAAggggAACfRNgbQSKLEAwoMjAVI8AAggggAACCCCAAAII5CNAGQRKKUAwoJTatIUAAggggAACCCCAAAIIfCTAHAJlEyAYUDZ6GkYAAQQQQAABBBBAAIHaE2CLEYiHAMGAeOwHeoEAAggggAACCCCAAALVKsB2IRBDAYIBMdwpdAkBBBBAAAEEEEAAAQQqW4DeIxB3AYIBcd9D9A8BBBBAAAEEEEAAAQQqQYA+IlBRAgQDKmp30VkEEEAAAQQQQAABBBCIjwA9QaByBQgGVO6+o+cIIIAAAggggAACCCBQagHaQ6BKBAgGVMmOZDMQQAABBBBAAAEEEECgOALUikA1ChAMqMa9yjYhgAACCCCAAAIIIIBAXwRYF4GqFyhKMOCxR7fYthdeqXo8NhABBBBAAAEEEEAAAQSqRYDtQKC2BCINBnR2HrM7bl9jGzZstuXLH+oSEEgmO+yb37jfZrUsdSkcLFDwwOevWvVI1j2QrZxv19cRrlvzPl99U9lMDeQql63dTPWQhwACCCCAAAIIIIAAAhUiQDcRqGGBSIMBT216zsaNG2vTpk20665vtq3P7zAFATQA/+4/Pm5z5ky31WuW2IqVN9uWLdts965WFzDYvn2ny9My7QsNvjUNJw3Ws5Vbu/Zx167WX3bvfNu4cbOrW/VrXnlapr6pbLhezecql6tdrUtCAAEEEEAAAQQQQACByhGgpwgg8KFApMEAVdnYOEITqxs4wGbPvsYSiXqrqxtgw4bVu3w9HD16zBQgaEgMcQGDKVMudWW0bMaMybZn7363XM99UmAhU7m9e9+xtgMddtnlF7iiiaC95uaJpsCB0kUXne/6oIWTJl+siQtQuJkTD7nKZWtX/T+xOhMEEEAAAQQQQAABBBCIrwA9QwCBDAKRBgM0IF+37gnbunVHt6amB4P8Bx/8kfuKwO1/tdq+fsM1NjAIGKhg05hRmrjk8xQwcBnBgx94Zyq3b1+bNTYOTw34g+LB/BA34NdVCboaQHlKCkooSNGePKSnqZSt3NtvHXBlMrUb7p8rxAMCCCCAAAIIIIAAAgjERIBuIIBATwKRBgP0qfzd99xojaNHdLlngAbz99/3fdMn+7pcf9G3Ztl99/6zvf7anm79yzZgTy/oXIBynwAAEABJREFUyx0+dCR9kTUkhljn0WP2/vHj3ZYlEvVBoKBrMKBboSBD5drbDwdzXf/7dtMDCl1L8QwBBBBAAAEEEEAAAQRKKkBjCCBQkECkwQDf8qiRw23evGvdVwD0/f+39r7jPr0ff+F5rogG2rqU/+WXd7vn4QcFDjSQbwgG9OH89HlfbvCQQemLTAN1XQFwcv/+3ZbpKoBED3VrJZVraBis2S7Jt9tT/7qslPbkYLvZG6/3I2HAMcAxwDHAMcAxwDHAMcAxwDHQh2OA99SMKWr5GNC4Mm2oWdDTogQDfA/0/f+jx95zn8Qngk/kfb6ffuxjJ7vZ3bs+ukLAX37vvy6gAvo0XtNM5UaMGGatrfuDNjpUxKVk8pCpPSXdD8BlBg/ZBvLZyp1+xqnBWmaZ2g33zxUq4GFog9lZZ39AwoBjgGOAY4BjgGOAY4BjgGOAY6CwYwAvvDgGThwDQ4NxZQHD0G5FIwsGJJMdduviB4KBc2uqkWeeftHa2g6avnOv+wjorv1aqLK6y7++z3/l5EvcLwtooK5l69dvMl1ZoACAyunnADXNVm7kyNPcLwmoLa2vsr5u3cNAwQDlaZl+7UBTDf419SlXuWztqn9+faYIIIAAAggggAACCCBQLAHqRQCBYgicFFWlGmDPX/AVW7nyYduwYbO7Z4AG4jNnTnWf0re0XG3Lln3P3UBw4YL7rLl5YhAkaHRp7NjRNnfOnW6Z+nPV1RM0CQILe9xAX3U3jWm0bOX0KwFqa1bLUgvXrfV0nwLlaZnKqD+qXIGJeXPvcj9tmKtcrnZVDwkBBBBAAAEEEEAAAQQiFqA6BBAoukBkwQD1VINq3UBw2rSJ7p4BtyxqSf1koAbVy1fcZLqBoJK/f4DW0+BfeUr6OULlKe3c9WbqJwP1PFs5fUqvtrS+UrhuzStPSWVUVnX5/mi5nmuqMkrhclqWrV0tIyGAAAIIIIAAAggggEDfBagBAQRKKxBpMCDqrk+fPsldVRB1vdSHAAIIIIAAAggggAACZRegAwggUEaBogQD9Em6Pmkv43bRNAIIIIAAAggggAACCMROgA4hgEBcBIoSDIjLxtEPBBBAAAEEEEAAAQQQKLMAzSOAQCwFCAbEcrfQKQQQQAABBBBAAAEEKleAniOAQPwFCAbEfx/RQwQQQAABBBBAAAEE4i5A/xBAoMIECAZU2A6juwgggAACCCCAAAIIxEOAXiCAQCULEAyo5L1H3xFAAAEEEEAAAQQQKKUAbSGAQNUIEAyoml3JhiCAAAIIIIAAAgggEL0ANSKAQHUKEAyozv3KViGAAAIIIIAAAggg0FsB1kMAgRoQIBhQAzuZTUQAAQQQQAABBBBAILcASxFAoNYECAbU2h5nexFAoOIFOm75ssU5VTwwG4AAAgjUigDbiQACNS1AMKCmdz8bjwACCCCAAAIIIFBLAmwrAggg4AUIBngJpggggAACCCCAAAIIVJ8AW4QAAghkFCAYkJGFTAQQQAABBBBAAAEEKlWAfiOAAAI9CxAM6NmIEggggAACCCCAAAIIxFuA3iGAAAIFChAMKBCM4ggggAACCCCAAAIIxEGAPiCAAAJ9ESAY0Bc91kUAAQQQQAABBBBAoHQCtIQAAghEJkAwIDJKKkIAAQQQQAABBBBAIGoB6kMAAQSKI0AwoDiu1IoAAggggAACCCCAQO8EWAsBBBAogUBRggGPPbrFtr3wSgm6TxMIIIAAAggggAACCFS+AFuAAAIIlFog0mBAZ+cxu+P2NbZhw2ZbvvyhVEDA589qWWrhpKCBNlhTn79q1SPKypiylUuvPxyI0LyvW31T2UyV5yqXrd1M9ZCHAAIIIIAAAggggEAeAhRBAAEEyioQaTDgqU3P2bhxY23atIl23fXNtvX5HZZMdlhd3QC7ZVGLrV6zxKXFi6+3z3zmXJs0+WIXMNi+faetWHmzWyYNDb41DScN1rOVW7v2cdeu6l9273zbuHGz7d7V6pLmladl6pvKhuvVvMpmK5erXa1LQgABBBBAAAEEEEAgPwFKIYAAAvERiDQYoM1qbByhidUNHGCzZ19jiUS9ex5++NGmZ23ChPGmIIECBlOmXOrmVWbGjMm2Z+9+S/8EP1u5vXvfsbYDHXbZ5Rdodddec/NEU+BA6aKLznd5Wqjgg6YKUGjqU65y2dpN75+viykCCCCAAAIIIIAAAikBZhBAAIGYCkQaDNCAfN26J2zr1h1ZN1efwnceOWaf/FRTasDfNGZUqvzAIIigJ0ePHtPEJT/wzlRu3742a2wcnhrwa4VEYoi7IkGDfl0NoDwlBR8UpGhPHtLTVMpW7u23DrgymdoN988V4gEBBBBAAAEEEEAAATMDAQEEEKgEgUiDAboK4O57brTG0SO63DMgDBG+KiCc7+ezDdj9cj/15Q4fOuKzUtOGIBjQGQQT3j9+PJXnZxKJ+iBQ0DUY4JeFpyrX3n44nOXmfbvpAQW3kAcEEEAAAQQQQACBWhRgmxFAAIGKE4g0GOC3ftTI4TZv3rXungHh7/+HrwrwZdOnugpAA/mGYECfviz83JcbPGRQONvNa6CuKwBO7t/fPQ8/6CoAXTkQzss0r3INDYO7LfLt9tS/biuGMg62m73xej8SBhwDHAO9OgZCLyexnK3V17czvn/c4pxqdb+w3bzfKN4xgC22HAMcA+U9Bg4G48q+vBksSjDAd0jf/z967D3/1NKvCtCn7Fq4e9ceTVzyl9/7rwsoM1e5ESOGWWvr/uDT/g4VdSmZPOS+NpBI1Lt7B7jM4CHbQD5budPPODVYy6yn/rlCBTwMbTA76+wPSBhwDHAM9OoYKODlpixFa/X1rSzYBTRaq/uF7eb9RqTHAH+3evV3i33AecgxUJxjYGgwrizgrUC3opEFA5LJDrt18QPBwLk11cgzT79obW0H3fNsVwVcOfkS27JlW+r+AevXbzJdWaAAgOrUzwFqmq3cyJGnuV8SUFtqSGX1ywC6V4DuYaCbAypPy/RrB5pq8K+pT7nKZWtX/fPrM0UAAQQQQAABBBCoTgG2CgEEEKhWgZOi2jANsOcv+IqtXPmwbdiw2d0zQAPxmTOnuibSrwpwmcFD05hGGzt2tM2dc6fNalka5JhddfUEN9Un8hrUq+5c5fQrAWpL6y9ccJ81N080ldd6+qUC5WmZyvj+KDgxb+5d7qcNc5VTPdn65zrJAwIIIIAAAggggEA1CbAtCCCAQE0IRBYMkJYG1bqB4LRpE909A25Z1JL6yUD9zOD4C89TsW5Jg//Va5aYksr5Ajt3vZn6yUDlZSunT+nVltZXCrejeeUpqYzKqi4N8pevuMm0XM81VRmlcDkty9aulpEQQAABBBBAAAEEKl2A/iOAAAK1JxBpMCBqvunTJ7nv/kddL/UhgAACCCCAAAII1LgAm48AAgjUuEBRggH6JF2ftNe4LZuPAAIIIIAAAgggECMBuoIAAggg8JFAUYIBH1XPHAIIIIAAAggggAACZROgYQQQQACBLAIEA7LAkI0AAggggAACCCBQiQL0GQEEEEAgHwGCAfkoUQYBBBBAAAEEEEAgvgL0DAEEEECgYAGCAQWTsQICCCCAAAIIIIBAuQVoHwEEEECgbwIEA/rmx9oIIIAAAggggAACpRGgFQQQQACBCAUIBkSISVUIIIAAAggggAACUQpQFwIIIIBAsQQIBhRLlnoRQAABBBBAAAEEChdgDQQQQACBkggQDCgJM40ggAACCCCAAAIIZBMgHwEEEECg9AIEA0pvTosIIIAAAggggECtC7D9CCCAAAJlFiAYUOYdQPMIIIAAAggggEBtCLCVCCCAAAJxEiAYEKe9QV8QQAABBBBAAIFqEmBbEEAAAQRiK0AwILa7ho4hgAACCCCAAAKVJ0CPEUAAAQQqQ4BgQGXsJ3qJAAIIIIAAAgjEVYB+IYAAAghUoADBgArcaXQZAQQQQAABBBAorwCtI4AAAghUugDBgErfg/QfAQQQQAABBBAohQBtIIAAAghUlQDBgKranWwMAggggAACCCAQnQA1IYAAAghUr0BRggGPPbrFtr3wSvWqsWUIIIAAAggggEBIoOOWL1ucU6irPc2yHAEEEECgRgQiDQZ0dh6zO25fYxs2bLblyx/KGhBIDxbo+ayWpaa0atUjWemzlfPtan2lcCBC88pTUt9UNlMDucplazdTPeQhgAACCCCAAAKVJUBvEUAAAQRqUSDSYMBTm56zcePG2rRpE+2665tt6/M7LJns6OK6e1er7dz5pn3yU00uX4Pw7dt32oqVN9vqNUtcngbfbib0kKvc2rWPu3a1/rJ759vGjZtN7ShpXnlapr6pbKhaN5urXK523co8IIAAAggggAAClSZAfxFAAAEEal4g0mCANBsbR2hidQMH2OzZ11giUe+e60Gfyv/wh/9uX/rSFVZXN0BZLmAwZcqlqeczZky2PXv3m8q6AiceFFjIVG7v3nes7UCHXXb5Ba6k2mtunmgKMChddNH5qT5MmnyxK5MeoMhVLlu76f1zFfOAAAIIIIAAAgjEVIBuIYAAAgggEBaINBigAfm6dU/Y1q07wm2k5nXlwNixo61pTKPL8wPqpjGj3HM9DAyCCJoePXpME5dyldu3r80aG4enBvxaIZEY4q5I0KBfVwMoT0kBCAUp2pOH9DSVspV7+60DrkxP/XOFeEAAAQQQQAABBOIlQG8QQAABBBDIKhBpMECfyt99z43WOHpEt3sG6FL8J5/8ibufgL6/r8vvM/Uq24A9vawvd/jQkfRF1hAEAzqDYML7x493W5ZI1AeBgq7BgG6FggyVa28/HMx1/e/bTQ8odC3FMwQQQAABBBBAoBwCtIkAAggggEB+ApEGA3yTo0YOt3nzrnVfAfDf/3/66Z/awoV/6O4LoPsDKDDw0os/96ukproKQAP5hmBAn8rMMOPLDR4yqNtSDdR1BcDJ/ft3W6arAHTlQLcFaRkq19AwOC3X3NcX8ulftxVDGQfbzd54vR8JA44BjoFeHQOhl5NYztbq61ssd0aoU7W6X0q13SHq0s/m0WKpHGiH93ccAxwDHAOlOwY0rszjT0DWIkUJBvjW9P3/o8fe6zaA1qfr+v7//v1JV3T3rj1uqgf/9QD/dQHlqbymmcqNGDHMWlv3B5/2f3SjwmTykPvaQCJR7+4doHWVfAChIS3QkMhS7vQzTtVqlqndcP9coQIehjaYnXX2ByQMOAY4Bnp1DBTwclOWorX6+lYW7AIardX9UqrtLmBXRFK00EpK5UA7vL/jGOAY4Bgo3TEwNBhXFvr3IFw+smBAMtlhty5+IBg4t6bqf+bpF62t7WDq5oB6roUalG/Zss39AsCVky8xzStPy9av32S6skABANWpnwPUNFu5kSNPc/X4ulV248bNLk/3MNDNAZWnunXPAk01+NfUp1zlsrWr/vn1mSKAAAIIIIAAAkUWoHoEEEAAAeuTpHQAABAASURBVAQiFTgpqto0wJ6/4Cu2cuXD7r4Ay5c/5D6VnzlzqmtCUw3Mdb+AuXPutAkTxrsbCTaNaTTdVFB5WqbCV109QZMgsLDHDepVd65y+pUAX/fCBfdZc/NEV7fW0xUIylPdKqN+qHLdw2De3LtM9y7IVS5Xu6qHhAACCCCAAAIIFEeAWhFAAAEEECieQGTBAHVRg2rdQHDatInungG3LGpJXRWgT9L1fPWaJe6+AeMvPE+ruKTBv8/XzxG6zOBh5643Uz8ZGDy1bOVy1a12fN1qX2VVlwb5y1fcZFqu55pmKqdl2drVMhICCCCAAAIIIBCZABUhgAACCCBQIoFIgwFR93n69Enuu/9R10t9CCCAAAIIIIBAXAToBwIIIIAAAuUQKEowQJ+k65P2cmwQbSKAAAIIIIAAAjEXoHsIIIAAAgiUXaAowYCybxUdQAABBBBAAAEEYiVAZxBAAAEEEIiXAMGAeO0PeoMAAggggAAC1SLAdiCAAAIIIBBjAYIBMd45dA0BBBBAAAEEKkuA3iKAAAIIIFApAgQDKmVP0U8EEEAAAQQQiKMAfUIAAQQQQKAiBQgGVORuo9MIIIAAAgggUD4BWkYAAQQQQKDyBQgGVP4+ZAsQQAABBBBAoNgC1I8AAggggECVCRAMqLIdyuYggAACCCCAQDQC1IIAAggggEA1CxAMqOa9y7YhgAACCCCAQCEClEUAAQQQQKBmBAgG1MyuZkMRQAABBBBAoLsAOQgggAACCNSmAMGA2tzvbDUCCCCAAAK1K8CWI4AAAggggIARDOAgQAABBBBAAIGqF2ADa1PgjO8ftzin2twrbDUCCMRFgGBAXPYE/UAAAQQQQACBKAWoCwEEEEAAAQRyCBAMyIHDIgQQQAABBBCoJAH6igACCCCAAAL5ChAMyFeKcggggAACCCAQPwF6hAACCCCAAAK9EiAY0Cs2VkIAAQQQQACBcgnQLgIIIIAAAgj0XYBgQN8NqQEBBBBAAAEEiitA7QgggAACCCAQsQDBgIhBqQ4BBBBAAAEEohCgDgQQQAABBBAopkBRggGPPbrFtr3wSjH7Td0IIIAAAgggUG0CbA8CCCCAAAIIlEwg0mBAZ+cxu+P2NbZhw2ZbvvyhbgEBBQlmtSw1pXlz77Ldu1rdhobzV616xOVleshWzrerepXCgQjNK09JfVPZTHXnKpet3Uz1kIcAAggggAAC+QtQEgEEEEAAAQTKIxBpMOCpTc/ZuHFjbdq0iXbd9c229fkdlkx2pLZsz979Nm/etbZ6zRJbvuImaxrT6AIG27fvtBUrb3b5KqzBt6bhpMF6tnJr1z7u2lW9y+6dbxs3bnaBBgUbNK88LVPfVDZcr+ZzlcvVrtYlIYAAAggggEBBAhRGAAEEEEAAgRgIRBoM0PY0No7QxOoGDrDZs6+xRKLePVdQoO1ARxAAGOWe+wcFDKZMudTq6ga4rBkzJpuCBumf4Gcrt3fvO6Z6L7v8Are+2mtunmgKHChddNH5qT5MmnyxK6O+uJkTD7nKZWs3vX8nqmKCAAIIIIAAAt0EyEAAAQQQQACBuAlEGgzQgHzduids69Yd3bazPXnIWlv32cIF97mvCegTdz+gbhrzUYBgYBBE0MpHjx7TxKVc5fbta7PGxuGpAb9WSCSGuCsSNOjX1QDKU1LAQUEK9UXPfcpW7u23DrgiPfXPFeIBAQQQQAABBD4SYA4BBBBAAAEEYi0QaTBAn8rffc+N1jh6hKXfM6BpTKPpqwG6XF+X7evy/ddf29MNJ9uAPb2gL3f40JH0RdYQBAM6g2DC+8ePd1uWSNQHgYJD3fLTM1Suvf1wera7giFTQKFbQTIQQAABBBCoMQE2FwEEEEAAAQQqRyDSYIDf7FEjh7t7A+gS+0zf/9dAW5fyv/zybr9KaqqrADSQbwgG9KnMDDO+3OAhg7ot1Sf/GrCf3L9/t2W6CkBXDnRbkJahcg0Ng9NyzXy7PfWv24qhjIPtZm+83o+EAccAx0CvjoHQy0ksZ2v19S2WOyPUqSLtl14dw9XYlxB1LGer0TyfbYrlzgh1Kp9toAzvmTkGOAayHQMaV4ZeUgqeLUowwPdC3/8/euw9dzO/++/7vhtI+2X6ysAnPvHh1wN27/roCgH/9QD/dQGV11UAmmYqN2LEMGtt3R982v/RjQqTyUPuawOJRL27d4DWVco2kM9W7vQzTtVqQf9z988VKuBhaIPZWWd/QMKAY4BjoFfHQAEvN2UpWquvb2XBLqDR6PYLf78yWRawK8pSNFOfayGvLNgFNFoL+4Bt5DWTY6B4x8DQYFxZwEtOt6KRBQOSyQ67dfEDwcD5w58LVEvPPP2itbUdNH1FoG7QAPvZiSsBdPd+3Vegacwou3LyJbZly7ZUoGD9+k2mKwsUAFCd+jlATbOVGznyNPdLAmpLbaqsvoKgewXoHga6OaDytEy/dqCpBv+a+pSrXLZ21T+/PlMEEEAAAQSqWoCNQwABBBBAAIGqEzgpqi3SAHv+gq/YypUP24YNm033DNBAfObMqa4JXSWgmwvOallqy5Z9z1parnaf3jeNabSxY0fb3Dl3uhsLqvBVV0/QJAgs7HEDfdWdq5x+JUBtqW7doLC5eaILQGg9/VKB8rRMZXx/FJCYN/cu99OGucrlatd1kgcEEEAAAQSqUIBNQgABBBBAAIHqFogsGCAmDap1A8Fp0ya6ewbcsqjF3XAvvEw3ENSNBDXIVr6SBv/KV9LPESpPaeeuN02f2mteKVs5fUqvtrS+0vgLz1NxlzSvPCWVUVktUPvqh5bruaYqoxQup2XZ2tUyEgIIIIAAAlUiwGYggAACCCCAQA0JRBoMiNpt+vRJ7uqBqOulPgQQQAABBBCQAAkBBBBAAAEEalWgKMEAfZKuT9prFZXtRgABBBBAILYCdAwBBBBAAAEEEAgEihIMCOrlPwIIIIAAAgjERIBuIIAAAggggAAC6QIEA9JFeI4AAggggEDlC7AFCCCAAAIIIIBATgGCATl5WIgAAggggEClCNBPBBBAAAEEEEAgfwGCAflbURIBBBBAAIF4CdAbBBBAAAEEEECglwIEA3oJx2oIIIAAAgiUQ4A2EUAAAQQQQACBKAQIBkShSB0IIIAAAggUT4CaEUAAAQQQQACByAUIBkROSoUIIIAAAgj0VYD1EUAAAQQQQACB4goQDCiuL7UjgAACCCCQnwClEEAAAQQQQACBEgoQDCghNk0hgAACCCAQFmAeAQQQQAABBBAolwDBgHLJ0y4CCCCAQC0KsM0IIIAAAggggEAsBAgGxGI30AkEEEAAgeoVYMsQQAABBBBAAIH4CRAMiN8+oUcIIIAAApUuQP8RQAABBBBAAIGYCxAMiPkOonsIIIAAApUhQC8RQAABBBBAAIFKEiAYUEl7i74igAACCMRJgL4ggAACCCCAAAIVK0AwoGJ3HR1HAAEEECi9AC0igAACCCCAAALVIUAwoDr2I1uBAAIIIFAsAepFAAEEEEAAAQSqUIBgQBXuVDYJAQQQQKBvAqyNAAIIIIAAAghUu0BRggGPPbrFtr3wSrXbsX0IIIAAAtUjwJYggAACCCCAAAI1JRBpMKCz85jdcfsa27Bhsy1f/lDWgEAy2WE//vFLKWgFD2a1LDWlVaseSeWnz2Qr59vV+krhQITmlaekvqlser16nqtctna1HgkBBBBAoFIF6DcCCCCAAAIIIFC7ApEGA57a9JyNGzfWpk2baNdd32xbn99hGvin865fv8naDhx02RqEb9++01asvNlWr1ni8jT4djOhh1zl1q593LWr9ZfdO982btxsu3e1uqR55WmZ+qayoWrdrMpmK5erXbcyDwgggAAClSNATxFAAAEEEEAAAQScQKTBANXY2DhCE6sbOMBmz77GEol699w/aHD93LPb/VMXMJgy5VKrqxvg8mbMmGx79u639E/wFVjIVG7v3neCwEKHXXb5BW59tdfcPNEUYFC66KLzU32YNPliVyY9QJGrXLZ20/vnKuYBAQQQQCB2AnQIAQQQQAABBBBAoLtApMEADcjXrXvCtm7d0b2lIEeD8Cef/Il9+StfDJ5ZasDfNGaUe66HgUEQQdOjR49p4pIfeGcqt29fmzU2Dk8N+LVCIjHEXZGg9nQ1gPKUFHBQkKI9eUhPUylbubffOuDKZGo33D9XiAcEEEAAgbgI0A8EEEAAAQQQQACBHgQiDQboU/m777nRGkePyHjPAH09QJ/uD0u7WiDcx2wD9nAZzftyhw8d0dMuqSEIBnQGwYT3jx/vkq8niaDtZFowQPnpSeXa2w+nZ7srGDIFFLoVJAMBBBBAoIQCNIUAAggggAACCCBQiECkwQDf8KiRw23evGvdVwD89//19QAtH3/heZpkTboKQAP5hmBAn7VQsMCXGzxkUPCs63998q8B+8n9+3ddEDxLJjtMVw4Eszn/q1xDw+BuZXy7PfWv24qhjIPtZm+83o+EAccAx0CvjoHQy0ksZ0v2+haz4yeWOyPUqVrdL6Xa7hB1LGdL5RC3dmK5M0KdipsX/eH9OcdAZR0DGleGXlIKni1KMMD3Qt//P3rsPXfJvr4+oHsF6K7++qUB/eKAv5nf7l17/CrmL7/3XxfQAl0FoGmmciNGDLPW1v2uDZVRSgaf/CcS9cGgv97dO0B5StkG8iqr+waojJIvd/oZp+qpZWo33D9XqICHoQ1mZ539AQkDjgGOgV4dAwW83JSlaDFf3+Jcd1mwC2g0znbV0LcCdkVZilaDcW+2oSzYBTTam21iHd5DcwxwDPhjYGgwrizgJadb0ciCAcngE/dbFz8QDJxbU4088/SL1tZ20D3/i9tucL8WoLv666oB/eKAbjB45eRLbMuWban7B+irBLqyQAEA1amfA9Q0W7mRI09zvySgttSQyuqXAXSvAN3DQIN85WmZfu1AUw3+NfUpV7ls7ap/fn2mCCCAAAJFE6BiBBBAAAEEEEAAgSIInBRVnRpgz1/wFVu58mHTp/769F8D8Zkzp7pP6LMNnpvGNNrYsaNt7pw7TVcNqD9XXT1BkyCwsMcN9FV3rnL6lQC1pfUXLrjPmpsnmsprPd2jQHlapjLqjyrXzwnOm3uX6esLucqpnmz9Uz0kBBBAAIGoBagPAQQQQAABBBBAoNgCkQUD1FENqnUDQX3qr0//b1nU4m64p2XhpPsG+AG/8jWvKwaUdLWA8pR27noz9ZOBep6tnAINakvrK6l+lVfSvPKUVEZlla9B/vIVN5mW67mmKqMULqdl2drVMhICCCCAQAQCVIEAAggggAACCCBQUoFIgwFR93z69EnuqoKo66U+BBBAAIHyC9ADBBBAAAEEEEAAgfIJFCUYoE/S9Ul7+TaLlhFAAAEEYihAlxBAAAEEEEAAAQRiIlCUYEBMto1uIIAAAgiUXYAOIIAAAggggAACCMRRgGBAHPcKfUIAAQQqWYDB0t/3AAAQAElEQVS+I4AAAggggAACCMRegGBA7HcRHUQAAQTiL0APEUAAAQQQQAABBCpLgGBAZe0veosAAgjERYB+IIAAAggggAACCFSwAMGACt55dB0BBBAorQCtIYAAAggggAACCFSLAMGAatmTbAcCCCBQDAHqRAABBBBAAAEEEKhKAYIBVblb2SgEEECg9wKsiQACCCCAAAIIIFD9AgQDqn8fs4UIIIBATwIsRwABBBBAAAEEEKgxAYIBNbbD2VwEEEDgQwEeEUAAAQQQQAABBGpZgGBALe99th0BBGpLgK1FAAEEEEAAAQQQQOCEAMGAExBMEEAAgWoUYJsQQAABBBBAAAEEEMgkQDAgkwp5CCCAQOUK0HMEEEAAAQQQQAABBHoUIBjQIxEFEEAAgbgL0D8EEEAAAQQQQAABBAoTIBhQmBelEUAAgXgI0AsEEEAAAQQQQAABBPogQDCgD3isigACCJRSgLYQQAABBBBAAAEEEIhKgGBAVJLUgwACCEQvQI0IIIAAAggggAACCBRFgGBAUVipFAEEEOitAOshgAACCCCAAAIIIFB8gaIEAx57dItte+GV4veeFhBAAIFqEGAbEEAAAQQQQAABBBAosUCkwYDOzmN2x+1rbMOGzbZ8+UNdAgLJZId98xv326yWpTZv7l22e1dralMVPFC+0qpVj6Ty02eylfPtan2lcCBC88pTUt9UNr1ePc9VLlu7Wo+EAAII9EaAdRBAAAEEEEAAAQQQKKdApMGApzY9Z+PGjbVp0ybaddc329bnd5iCABqAf/cfH7c5c6bb6jVLbOHCP7Q1ax51yzQI3759p61YebNbJgwNvjUNp1zl1q593LWrupfdO982btzsgg0KOGheeVqmvqlsuF7N5yqXq12tS0IAAQTyFKAYAggggAACCCCAAAKxEYg0GKCtamwcoYnVDRxgs2dfY4lEvdXVDbAb53/ZmsY0umWannPOmdaePOQCBlOmXOrKaOGMGZNtz979pgCCnvukwEKmcnv3vmNtBzrssssvcEXVXnPzRFOAQemii853fdDCSZMv1sQFIdzMiYdc5bK1m96/E1UxQQABBEICzCKAAAIIIIAAAgggEE+BSIMBGpCvW/eEbd26I+fW6pP4V1/9pQ0MggQq2DRmlCYuDQyCCJo5evSYJi75gXemcvv2tVlj4/DUgF8rJBJD3IBfVyXoagDlKSkooSCFghB67lO2cm+/dcAVydRuuH+uEA8IIICABEgIIIAAAggggAACCFSAQKTBAH0qf/c9N1rj6BHd7hkgCw3q9b392277tunT+4aGIcrukrIN2LsUCp74cocPHQmedf3fEAQDOoNgwvvHj3ddEDxLJOqDQMGhYC73f5Vrbz/crZBvNz2g0K0gGQggUDMCbCgCCCCAAAIIIIAAApUmEGkwwG/8qJHDbd68a91XAMLf/9dA+pZFLe7+AE8++RN76cWf+1VSUwUMNJBvCAb0qcwMM77c4CGDui3VQF1XAJzcv3+3ZboKQFcOdFuQlqFyDQ2D03LNfX0hn/51WzGUcbDd7I3X+5Ew4Bio3GOgrPsu9HISy9lafX2L5c4IdapW90uptjtEHcvZUjnErZ1Y7oxQp+LmRX94f84xUFnHgMaVoZeUgmeLEgzwvdD3/48ee8/dzG/tdx/32e7+AL//+1fa4Xc7Xd7uXXvcVA/+8nv/dQHlKYigaaZyI0YMs9bW/cGn/R0q4lIyech9bSCRqHf3DnCZwYMPIDSkBRoSWcqdfsapwVoW9D93/1yhAh6GNpiddfYHJAw4BirqGIjPOVvAy01Zitbq61tZsAtotFb3S6m2u4BdUZaipXKIWztlwS6g0bh50Z/4/K1nX7Av8jkGhgbjygJecroVjSwYkEx22K2LHwgGzh/9ZOAzT79obW0H7YyRp7kBu+7Mrx5oUP7ggz+yYcEg/MrJl9iWLdvcJ+5atn79JtOVBQoAqE59rUDTbOVGBnXrvgBqS+urrH5BQHm6h4FuDqg8LdOvHWiqwb+mPuUql61d9c+vzxQBBKpUgM1CAAEEEEAAAQQQQKBKBSILBmiAPX/BV2zlyodtw4bN7p4BGojPnDnVXQnw9RuuMd1ccFbLUps75073U4DjLzzP/cLA2LGjXZ6WWfDvqqsnBI8ffiKvQb3qbhrTaNnK6VcC1JbWX7jgPnc/ApXXevoFAuVpmcqoP6pcNzGcN/cuU4AiVznVk61d1UNCAIHqEmBrEEAAAQQQQAABBBCoBYHIggHC0qBaNxCcNm2iu2eA7g/gP0H3y1avWWJKfsCv9TSvPCX9HKHylHbuejP1k4F6nq2c2lBbWl9JQQaVV9K88pRURmWVr0H+8hU3mZbruaYqoxQup2XZ2tUyEgIIVLwAG4AAAggggAACCCCAQM0JRBoMiFpv+vRJ7rv/UddLfQggUOsCbD8CCCCAAAIIIIAAArUtUJRggD5J1yfttU3L1iOAQKwE6AwCCCCAAAIIIIAAAgikBIoSDEjVzgwCCCBQRgGaRgABBBBAAAEEEEAAgcwCBAMyu5CLAAKVKUCvEUAAAQQQQAABBBBAIA8BggF5IFEEAQTiLEDfEEAAAQQQQAABBBBAoFABggGFilEeAQTKL0APEEAAAQQQQAABBBBAoE8CBAP6xMfKCCBQKgHaQQABBBBAAAEEEEAAgegECAZEZ0lNCCAQrQC1IYAAAggggAACCCCAQJEECAYUCZZqEUCgNwKsgwACCCCAAAIIIIAAAqUQIBhQCmXaQACB7AIsQQABBBBAAAEEEEAAgZILEAwoOTkNIoAAAggggAACCCCAAAIIIFBeAYIB5fWndQRqRYDtRAABBBBAAAEEEEAAgRgJEAyI0c6gKwhUlwBbgwACCCCAAAIIIIAAAnEVIBgQ1z1DvxCoRAH6jAACCCCAAAIIIIAAAhUhQDCgInYTnUQgvgL0DAEEEEAAAQQQQAABBCpPgGBA5e0zeoxAuQVoHwEEEEAAAQQQQAABBCpcgGBAhe9Auo9AaQRoBQEEEEAAAQQQQAABBKpJgGBANe1NtgWBKAWoCwEEEEAAAQQQQAABBKpWgGBA1e5aNgyBwgVYAwEEEEAAAQQQQAABBGpDoCjBgMce3WLbXnilNgTZSgQqW4DeI4AAAggggAACCCCAQA0KRBoM6Ow8ZnfcvsY2bNhsy5c/1CUg4JfNallqSgoYeG/NK09p1apHfHa3abZy6XWHAxGaV71K6pvKdqs4yMhVLlu7wWr8R6ACBegyAggggAACCCCAAAII1LpApMGApzY9Z+PGjbVp0ybaddc329bnd1gy2eGM16593C1bvWaJrVh5s+3c+abt3tXqAgbbt+90eVqmwhp8axpOGqxnKxeue9m9823jxs2ubtWveeWpbvVNZcP1aj5XuVztal0SAhUhQCcRQAABBBBAAAEEEEAAgZBApMEA1dvYOEITqxs4wGbPvsYSifpUQGDS5Is/XFY3wCZMGG8a3CtgMGXKpVYX5GnhjBmTbc/e/Zb+CX62cnv3vmNtBzrssssv0Oquvebmia5u1X/RRee7PC307fsAhfKUcpXL1m56/1QPCYE4CdAXBBBAAAEEEEAAAQQQQCCbQKTBAA3I1617wrZu3dGlPQUEFBjwA34tbG3dZ8OHJzRrTWNGuakeBgZBBE2PHj2miUt+4J2p3L59bdbYODw14NcKicQQF4DQoF9XAyhPSe0rSNGePKSnqZSt3NtvHXBlMrUb7p8rxAMC5RegBwgggAACCCCAAAIIIIBAXgKRBgM06L/7nhutcfSIbvcMCPdGl+VrAP7ZC34jnO3msw3Y3cLQgy93+NCRUO6Hsw1BMKAzCCa8f/z4hxmhx4S7UqFrMCC0ODWrcu3th1PP/YxvNz2g4JczRaC0ArSGAAIIIIAAAggggAACCBQuEGkwwDc/auRwmzfvWnfPgPTv/ysQ8MMf/rtNnzHZF+8y1VUAGsg3BAP6LgvSnvhyg4cMSltipoG6rgA4uX//bssUhNCVA90WpGWoXEPD4LRcc19fyKd/3VYMZRxsN3vj9X4kDHp3DOBW826hl5NYztbq61ssd0aoU7W6X0q13SHqWM6WyiFu7cRyZ4Q6FTcv+sP7c46ByjoGNK4MvaQUPFuUYIDvhb7/f/TYe/6pu3T/wQd/ZF/92lR3jwB9yq6Fu3ft0cQlf/m9/7qAMnOVGzFimLW27nd1q6xSMnnIfW0gkah39w5QnpIPIDSkBRoSWcqdfsapWs166p8rVMDD0Aazs87+gIRB3scAxwvnS/gYKODlpixFw32tpfmyYBfQaC3ti3JsawG7oixFy2EShzbLgl1Ao3Ewog+8x+AYqNxjYGgwrizgJadb0ciCAclkh926+IFg4NyaauSZp1+0traD7rmW/90Dj9jXb/jwpoIuM3i4cvIltmXLNveJe/DU1q/fZLqyQAEAraOfA9Q0W7mRI09zv1KgtrS+yuoXBHSvAN3DQDcHVJ6W6dcONNXgX1OfcpXL1q7659dnikARBKgSAQQQQAABBBBAAAEEECiawElR1awB9vwFX7GVKx+2DRs2u3sGaCA+c+ZUFyBY/GcP2C9+8YYtXHCfzWpZ6tKqVY9Y05hGGzt2tM2dc6fLU3+uunqCJsF6e9xAX3XnKqdfCVBbqlf1NzdPdPVqPf1SgfK0TGXUH1WuryvMm3uX+2nDXOVytat6SAhEJ0BNCCCAAAIIIIAAAggggEBpBCILBqi7GlTrBoLTpk003TPglkUt7usAGlAvX3GTrV6zpEvSLwxoPQ3+/TKfp/ydu95M/WSgnmcrp0/p1ZavY/yF56m4S5r3+Sqjslrg+6Tleq5ppnJalq1dLSMh0CcBVkYAAQQQQAABBBBAAAEEyiAQaTAg6v5Pnz7Jffc/6nqpD4FyCtA2AggggAACCCCAAAIIIFBugaIEA/RJuj5pL/fG0T4CMRGgGwgggAACCCCAAAIIIIBArASKEgyI1RbSGQTKIkCjCCCAAAIIIIAAAggggEB8BQgGxHff0LNKE6C/CCCAAAIIIIAAAggggECFCBAMqJAdRTfjKUCvEEAAAQQQQAABBBBAAIFKFCAYUIl7jT6XU4C2EUAAAQQQQAABBBBAAIGKFyAYUPG7kA0ovgAtIIAAAggggAACCCCAAALVJUAwoLr2J1sTlQD1IIAAAggggAACCCCAAAJVLEAwoIp3LptWmAClEUAAAQQQQAABBBBAAIFaESAYUCt7mu3MJEAeAggggAACCCCAAAIIIFCTAgQDanK31/JGs+0IIIAAAggggAACCCCAAAIEAzgGql+ALUQAAQQQQAABBBBAAAEEEOgiQDCgCwdPqkWA7UAAAQQQQAABBBBAAAEEEMguQDAguw1LKkuA3iKAAAIIIIAAAggggAACCOQpQDAgTyiKxVGAPiGAAAIIIIAAAggggAACCPRGgGBAb9RYp3wCtIwAAggggAACCCCAAAIILacpEAAAEABJREFUINBnAYIBfSakgmILUD8CCCCAAAIIIIAAAggggEC0AgQDovWktmgEqAUBBBBAAAEEEEAAAQQQQKCIAgQDiohL1YUIUBYBBBBAAAEEEEAAAQQQQKBUAkUJBjz26Bbb9sIrpdoG2qlUAfqNAAIIIIAAAggggAACCCBQFoFIgwGdncfsjtvX2IYNm2358oe6BQRWrXrE5s29y3bvau2ysQoezGpZakoq02Vh6Em2cr5dra8UDkRoXnlK6pvKhqpMzeYql63d1MrM5C1AQQQQQAABBBBAAAEEEEAAgfILRBoMeGrTczZu3FibNm2iXXd9s219foclkx1uKzUInzFjsn3uc+e75/5Bg/Dt23faipU32+o1S1y2Bt9uJvSQq9zatY+7drX+snvn28aNm13AQUEHzStPy9Q3lQ1V62ZzlcvVrluZh54EWI4AAggggAACCCCAAAIIIBAzgUiDAdq2xsYRmljdwAE2e/Y1lkjUf/i8bkBq3mWceFDAYMqUS60uWK4sBQz27N1vCh7ouU/Zyu3d+461Heiwyy6/wBVVe83NE00BBqWLLjo/1e6kyRe7Mj5A4Z4ED7nKZWs3vX9BNfxPCTCDAAIIIIAAAggggAACCCAQZ4FIgwEakK9b94Rt3bojr232A+qmMaNS5QcGQQQ9OXr0mCYu5Sq3b1+bNTYOTw34tUIiMcRdkaBBv64GUJ6SAg4KUrQnD+lpKmUr9/ZbB1yZnvrnCtX6A9uPAAIIIIAAAggggAACCCBQMQKRBgP0qfzd99xojaNHZLxnQD4q2Qbs6ev6cocPHUlfZA1BMKAzCCa8f/x4t2WJRH0QKOgaDOhWKMhQufb2w8Fc1/++3fSAQtdStfGMrUQAAQQQQAABBBBAAAEEEKhMgUiDAZ5g1MjhNm/ete6eAZm+/+/LZZrqKgAN5BuCAX2m5T7Plxs8ZJDPSk01UNcVACf375/K8zO6CkBXDvjn2aYq19AwuNti325P/eu2YijjYLvZG6/3q8REn9lvHAMxOAZCLyexnK3V17dY7oxQp2p1v5Rqu0PUsZwtlUPc2onlzgh1Km5e9If35xwDlXUMaFwZekkpeLYowQDfC33//+ix9/zTblN9yq7M3bv2aOKS/3qA/7qAMnOVGzFimLW27g8+7f/wRoUqn0wecl8bSCTq3b0DlKeUbSCfrdzpZ5yq1ayn/rlCBTwMbTA76+wPKiTRT/YVx0DcjoECXm7KUjRuXqXqT1mwC2i0VA612k4Bu6IsRdkvZWHvsdFa3S9sN++tOAaiOQaGBuPKHl9ochSILBiQTHbYrYsfCAbOH/1s4DNPv2htbQdzNG925eRLbMuWbakbBq5fv8l0ZYECAKpTPweoabZyI0ee5n5JQG2pIZXVLwjoXgG6h4FuDqg8LdOvHWiqwb+mPuUql61d9c+vX3VTNggBBBBAAAEEEEAAAQQQQKCqBU6Kaus0wJ6/4Cu2cuXDtmHDZnfPAA3EZ86cmrOJpjGNNnbsaJs7506b1bLUlb3q6gluqk/kNahX3bnK6VcC1JbWX7jgPmtunmgqr/X0SwXK0zKV8f3RzwnOm3uX6acDc5VTPdn65zpZJQ9sBgIIIIAAAggggAACCCCAQO0IRBYMEJkG1bqB4LRpE909A25Z1JL6yUAtV5r51aluoK55nzT4X71miSnp5wh9/s5db6Z+MlB52crpU3q1pfWVxl94noq7pHnlKamMymqBBvnLV9xkWq7nmqqMUriclmVrV8sqONF1BBBAAAEEEEAAAQQQQACBGhWINBgQteH06ZPcd/+jrrd262PLEUAAAQQQQAABBBBAAAEEEDArSjBAn6Trk3aAYyBAFxBAAAEEEEAAAQQQQAABBBBIEyhKMCCtDZ6WWIDmEEAAAQQQQAABBBBAAAEEEMglQDAgl07lLKOnCCCAAAIIIIBAJAJjFk61OKdINpJKEEAAAQSK8zUBXEshQBsIIIAAAggggAACCCCAAAII9E6AKwN651aetWgVAQQQQAABBBBAAAEEakogzlfq+L7V1A6poo0lGBDznUn3EEAAAQQQQAABBBBAAAEEEIhagGBA1KJ9ry92NXTc8mWLc4odGB1CAAEEEEAAAQQQQAABBGIuQDAgFjuITiCAAAIIIIAAAggggAACCCBQOgGCAaWz7toSzxBAAAEEYn3Hcn0Pkl2EAAIIIIAAAghUqwDBgBLuWZpCAAEEEEAAAQQQQACB0gjE+Wuu6ltpFGgFgewCBAOy20SxhDoQQAABBBBAAAEEEEAAAQQQiJ0AwYDIdwkVIoAAAggggAACCCCAAAIIIBBvAYIBUewf6kAAAQQQQAABBBBAAAEEEECgggQIBvRyZ7EaAggggAACCCCAAAIIIIAAApUqQDAg/z1HSQQQQAABBBBAAAEEEEAAAQSqQoBgQM7dyMJqE9BPhcU5VZs324MAAggggAACCCCAAALxFCAYkL5feI5ABQic8f3jFvdUAYx0EQEEEEAAAQQQQACBmhUgGGBmNbv32XAEEEAAAQQQQAABBBBAAIGaFKjVYIDb2clkh61a9Yh1dh5zz3lAAAEEEEAAAQQQQAABBBBAoBYEaigY0HV3bnvhFVu44D577tntdv993ycg0JWHZwgggAACCCCAAAIIIIAAAlUsUN3BgCw7TlcEPPnkT2zx4uvt4kvG2YQrxttTm57LUppsBBBAAAEEEEAAAQQQQAABBKpLoOqCAfnunmGn1tvAugGu+Pjx59lVV09w8zwggAACCCCAAAIIIIAAAgggUO0C1RAMKHgfJRL1NmrkcLt32fes88ixgtdnBQQQQAABBBBAAAEEEEAAAQQqWaBCgwF9J9eVAHPmTLdXX/0l9wzoOyc1IIAAAggggAACCCCAAAIIVJBA5QQDioDakBhin/7MOfal5ivsjttX29697wTTNTarZalLuslgEZq1g+1mb7zer2JS+9fXWZxTIZb/60//xeKc8t2W//jtky3uKd9toVzhrwVxPh/Vt0L2aZzPR/WtkG3hnCz8WC7EN+5ldezHORXip2M/zqmQbeG85LyshvMyzuej71sh5yVlozsvNa7sy3g11sGAvmxYIes2NTXahCsutKOdx+yWRS22es0Sl8ZfeF4h1eRddmiD2Vlnf0DCgGOAY4BjgGOAY4BjgGOAY4BjgGOgZo6Bz/34fYtzqrQx2tBgXJn3IDRDwbgFAzJ0Mfqsxx7dYqtWPZKquL39kG359xdSz5lBAAEEEEAAAQQQQAABBBBAoJoFYhAMKD2v7hegGwguXHCfPffsdvvWohXW3DzRmsY0lr4ztIgAAggggAACCCCAAAIIIIBAiQXKEwwo8UZmak4BgWX3zreLLxlnK1bebMX6SkCmtslDAAEEEEAAAQQQQAABBBBAoJwCJQsGlHMjaRsBBBBAAAEEEEAAAQQQQKC8Am99ub/FOZVXp/StFzMYUPqtKbDFRKLeZs++xurqBhS4JsURQAABBBBAAAEEEEAAAQQQqFyBiIMBlQtBzxFAAAEEEEAAAQQQQAABBBCoFYG+BwNqRYrtRAABBBBAAAEEEEAAAQQQQKBKBHoVDKiSbWczEEAAAQQQQAABBBBAAAEEEKhJgXyDATWJw0YjgAACCCCAAAIIIIAAAgggUI0COYIB1bi5bFMlCDz26Ba74/Y11tl5rFt3d+9qtW9+437TtNvCDBmqY9WqRyyZ7MiwNHeW+qG28llXZbe98EruCkNL1S9t46yWpeaT+hkqUvCs+qk6VHfBK7MCAhEIrP3u43mfm765Uhy3Oic437w401oU0N/MeXPvSv290fxLL/7c/T3V368oTXo6pzkfo9SmrrgI6Dzy7+c01fuxYvRN57L+1haj7mx19tSmznm9X9Z2+ySPbPXlk6/31H2tI592KGPWNRiACAIxEWht3Wdv7X2nW2+2b9+ZMUjQrWAEGVddPcHuvudG069ORFBdqgq9qOpFc8qUS231miWpdNFvne/emOlFNVWYGQQQ6JMA51uf+Fi5igQ+97nzU39vlq+4yT57wW+4v3H6W1eqzeR8LJU07ZRKwAe39uzdnzq/9N5u1MjhNfGeToP2xX/2gM2ZM73L9stfQXj5aJ4UX4GT4ts1elarAnpBbWwcYc+/8LMuBBok79z5pg0bVh980n+oy7JKeaIXxR/+8N9t4cI/tPEXntel23pejOBDl0Z4gkANCXC+1dDOZlNjL8D5GPtdRAd7IfDUpuds3Lix7qfKw6sryPYHf/AFW79+Uzi7qub1vvzJJ39it/3lDdY0prHLtmn7b1nUws+3d1GJz5NwT7gyIKzBfGwE9MKqzuiFRlOl3bv22EXBJxt1dQP1NJV0KZa/LEmfuD/11H+YLi3SurcufsCee3a7KWqpTyS0kpb58poqqql8lVddeuFWPS+99HMLX4qlZSqvpOW+Ha3rk+rQMpVROz7fT3W1g4IZ6S+afnl4qv7qUk7VpaT2/XLVrTy1pTZVVtuobdU2K0/lVYbIrFdjWi4BHY86VnU8KunY1Lml49b3adu2V7pcwhxepjJaR+sq6bzwy1W3lvnzVs9VXimq801tqU21rdcLPU8/39LPSbVPQiDuAv481PGr80j91aBdfzd0rOu5jnd//Osc8OW0TEnrKl9J5fS3WvnpqZTno/qo/mg7tD3pfeE5AlEI6NjSB1iXXX5Bxuo++akml6+/Szom/TnlMoOHcF74PNKx68v6df3fuI5D7wZrmnufq3JKvqxbEDyoXuUrfXhOtga5H/5XfT39PQ6vr7LJ5KEPV0571Lmu9+v5XEGbbftUpW/Pn68qu3z5Q7Zhw2bTsmSyw11loe3RMq1DKlgg6woEA7LSsKDcAmPHjLZnnn7RdUMvuFuf32GfCl5Yh51a7/L0oBcJTXVJlpIuU9oYvHgoTy9Of3HbDXbxJeNSUUv/IqKyPqle/0L66i9+aVv/Y4ct+tYsqx9yiqpxKVc7rsCJB70wTpgw3l0qpRcvvYk6schNksELqvrlnuR40HorVz7sriDw/VRx9UMW+uOz7N757rIsbZOCC4rMalu1zSqrtGLlzaavIyhyreckBEotkAz+iN/+V6tNn5D4Y1mXT/5HcJ75vui82779VXfeqIyO5TVrHk3df0DHvcpqmZKurNH5ofNE+Vrfn7fh8ysZwfmm+rdv32mzZn3JdD7p9aIhMcS9pvjzbeDAAZZ+Tmo9EgJxEtA5pzfTSukDBH2Kp/NSf0/Wrn3c/d3Q1Wo6x3Q1m65a07mnpK+0+XNS5XV+6NzQMpXTJ4VtB7rfp6dU56M3V5/4++c1mBZD4OjRD+9tpb8BmeqvqxtgdcHfh/bgb9GVky+xLVu2pb7qqnOr88gxU8BA55HW1znkk/7WZHtvqnPZl9d7QZ1zyeBvrfJ0buoc9fXonNQ5rPZUpqe/x1pf9fj19X543bonrPPEtmqZT/pKr67k9c+zTbV94dcJ9Vl1apvjMFMAABAASURBVPvUJ60XPl/1ejRv3rU2bdpEd8VFT++ttT4pk0B+eQQD8nOiVIkENNDVmwi9uDSNGeXeYCtPnyjoBTWRqDe9YdELkH8BmTlzaqp3TWMa3Zv2VEZoRvXoxUiRRr0Z8kmfputFV0WHDRvqAgFqR8+VCmmnKeizXuz1Ajfzq1O7XTaVCAYRvj7VnS2pnxo8NQXb48v47dQfHxn83QOP2BkjTzO148v4qe+/3tTpDZ1eWP0ypgiUUsD/Eddx6NvV8ajvL/vn55x7pvnjW3k6fpubJ5rOA3++hJfrvND5oeUqn+m8VX4U55va1ycfeuOi16HZs6/pdh8RveHr6ZxUf0gIlFNA55x/g697Bug8Cvdn0uSL3TmnPH++6hz7z//8hc2dc2fqyh19YqcA3N6977i/0V+/4RrTOaD1NP39378y9Vx5PpXqfNTrh9rk758USMUU8EEAvS/L1I7ed2oQ3RC899P5VjdogP3s5d2u6I82PWv68EhPdJ4V8t70nHPONJ2vWjcRvC9ubBxuCjjo75XOTZ2j/j2uzl2dw2qjp7/HWl91hv/eqn79vVV+etJ7db0fT88PP5eBguXh1wnVqQ/vtgcfAmhe5XOdr009vLfW+qQTAr2YEAzoBRqrFFdAbyb0pkEvEHqDrRdOvWiOG3dOnxvWVQWKSPo3RH6qN/iqXMv9i7ueF5rUZ0VhFVzwlzuF69Dgva2tI/WJZ3hZIfMaTOkNly7fUuAh07raJkWH0z8BylSWPATiKKA3EPn0K9t5G9X51hQE5XTFzYMP/shdspipT/mck5nWIw+BuAgo2NXZedRa39xnflCgvukTOv+30k/1d66hYYgW551KeT7y9y/v3ULBPgjo/arep/qrWNOr0vtX5em9oab+6oCXX95l/qoA5etvWCHvTYcNq88YcFNdCq7rU3Z/rvqp/kZpeZSpKRikb9++s8vrRW/q7+l8lZ9ec7K9t+5Nm9W0Tl+3hWBAXwVZv6gC+kROn7S3HegIPmUf5dpSJFKDBL04KEPRRE2VdBnU6tU/1Gy35F+09b0rv7Cz85j7GcNsA2qVK6Qd//1LRVXVnt5cqQ6flPelL11hy5Z9z9Lb1HMN7vUmTNutTyK1PX5df6m/or9qpykYoOjSZb04+jJ+qrp0WZY+3dFlknqx9suYIlBKgabgzYLOYR2Tvl0dm/4yR+Xpkwx/fOu5zoGNGzeb3jhlOv/8cp0nKp8tRXG+KTioyyb1yY8+2dBrkdoPt6nztKdzMlyeeQTiJqC/hbqUuKXlatNVOf7vpM4xnYvhY17nr84JnV8aCOkqNa2vbdJUQTNN9TycVL6vf//yOR/1WqM+8vcvrM98sQT0Cb3eY+mcCLehY1Dv42bMmJzKbgret+nqgHvu/id3VYDOCSWdR/6cU2GdP/pASceynueb/N/L9L+nupeU/k419fD32K8ffl+tc1/bkakPKq/3mLqHjuoPl9H2axuUp+3L9DqhD/m0jSqb63zV31fVn+29tdqosRTp5hIMiJSTyvoqoDfcehFsSHz4iYM+SdBzvSFJJD66V4BvR9FEzfvLofQ94uZpE5WVMSkyqhclX16XT+mFTC9CGVc4kZlvO6pffVC9esFvCl74T1SRmihP34nWi6vvh6Ya1Cvyqe1UGV1CpaCBlikpAKJ+aJnKKE+BDw2YUpWfmNH2qLzKaCB2WZab25wozgSBSAR0OeRtt307dTmx3hzpWPXfOdTxqKRjU5cs+0b1SYbW1TIlvbHQoETHusrouNdUy5TSl2tZtqQ6+nK+6Y2azjG1uXDBfe6u0dqmcHtqQ3nqW7ZzMlyeeQTiJHDs2Ht2/33fd4MTHcv6+6G/kzp/9Vznoo5/Hd9KOn/9Oam/efr7rL95WqapbvSrTzozbaPqK/b5qP6rj+oPf/8y7QXyohTQ3wjdNV/njI45n3QM+vd04fb09+QznznX3SvA5+s8Cq+v8yif96Z+/fBU56ba9v3QuatzWOee/k719PdY66u+8PpTvvB501d1lZ+edL7pPj7h96taV+XkIh9tX/rrhN8+re/7m+181fo9vbdWe9Wdird1BAOKZ0vNvRDQC5VePDTV6noR0XO9EOi5kl44/IuVnmveXwalF95Jkz5nvrzW13Jfn8prmS+vqepTvsqorNbRc71whr+Pr2Uqr5TejupUPapDy1RG5VVPphQup7JK6eXVvr7XqWVK4eVqT3larnJqQ3WqjO+/5lVG/dEylSEhUEwBf8zpuFPSc7Wn40/HofKUlK9zS8eulum5Pj3RMqXwca31lVRGy5TCy/36/rhX2fSkMuH2VYfqC5dTX1SvlimFl4eX6dzTeqpTZXy7ytd6qkPlVYaEQFwEdEzqnEvvj/LO+2ST6e+s/ob55TqedXzrudbVca3jW8nna5mSyirfJ/0NVhl/bqhMOOncKfb5qPbVH7Wj9sLtM49AMQTSzwMdg5na0fl04/wvW/r5kb6+Px91/KouX17r67wN163nyvd5Kq/jX0nnbniZ6tN5oWVKKtvT+jqnVcbXnz5V/WpH9fmk7QmX03O/TFO/fSqjPihP/VL/lKflWkfzytMylVFZ5dVEKtFGEgwoETTNIIAAAggggAACCCCAAAIIIJBJoBx5BAPKoU6bCCCAAAIIIIAAAggggAACtSxQ9m0nGFD2XUAHEEAAAQQQQAABBBBAAAEEql8gXlvYp2CA7jCpG8zoBm/x2ix6gwACCCCAAAIIIIAAAggggECZBWLcfK+DAfopCN1Z+blnt7u70KYHBPQzEUradgUN9JNp+omJTOV010klBRZUPlNSXSqjFC7n61b+vLl3mX56wq+vPipfKVPbPZVTX7We1ldSfX4d9Sf83OczRQABBBBAAAEEEEAAAQQQqF2BStnyXgUDNAB/8smf2OLF19vFl4yzCVeMt6c2PZfaZg2i9TMR4Z8zW7DwDy39p2Y0mN6+faetWHmz6Q6RqkCDbE3DKVs5tfN3Dzxif/AHX3Dr66ct1qx51NQ/BQU2btxsy+6d75bpJy3Wrn08XK2bz1VO5bWe+qZ6VJ/Ka0Xlb9/+qmZJCCCAAAIIIIAAAggggAACtStQkVveq2CAtlQD+4F1AzRr48efl/opN2UcPXpMExs48MPl+kmIgQM/7vLCD1uf32FTplya+nkN/bSUggga5OdT7vXX9rp1P/mpJldcP21x0UXn2+5de2x7EGTQvNrWwkmTL9bEBQrczImHbOVee22PtR3oMB/QUD3NzRNdvVq1ITHEOoPtTO+rlpEQQAABBBBAAAEEEEAAAQSqWaDyt61XwYBEot5GjRxu9y77nnUe+XDgH6ZoTx6ysWPPdAP1cH543g+im8aMSmUPPBE88MEELchVbt/+tqCd0V3aaWwcYa2t+9ygX5/eqw6luiBwURfUr77puU+6iiBTudY391lj43DTtvqyiSAAoPJ6nqmvyichgAACCCCAAAIIIIAAAghUoUCVbVKvggEyuOrqCTZnznR79dVfdrtnQDIIBnQeOapiBaVsA/b0Sny5dw93pi8KBu9DXCCg24IgQwN79S2Yzflf5To6jnQr0xAEA/zVAOrDsGFDu5UhAwEEEEAAAQQQQAABBBBAoDoEqnkreh0MEIoGx5/+zDn2peYr7I7bV3cZhOsTepUpJOkqAA22VW+u9Xy5UwbXdSumwX4iUd8tXxnJZIcLFmg+V1K5+vpB3YroqgJdXaBAQLeFBWQcbDd74/V+JAw4BjgGOAY4BjgGOAY4BjgGOAY4BjgG4nUMVMz+0LiygGFot6J9Cgb42pqaGm3CFReaBss+r6epH1Dr+/2+rP96gL8EX/m5yo0YPsx27nzTFBxQWSV9RUCBCAUEdD8A5SmpTKZAQ7ZyjaP1dYP9XQIcyeShIJjwYaBB9bW1HVTVBaehDWZnnf0BCQOOAY4BjgGOAY4BjgGOAY4BjgGOAY6Bsh8DlTk2GxqMKwsejIZW6FUwQHf8D/+8X3v7Idvy7y+EqjX3vf0uGRmeXDn5EtuyZVtqML9+/SZ3LwIFAHTX/vvv+75blq3ceZ/8hNUNGmA/e3m3q13rbN26w3QfAt34T8GAZLLDLfO/dqDBv8s48ZCt3Cc+Mcp0L4Fnnn7RlVQ9+jUB5bmM4EF1hQMXQRb/EUAAAQQQQAABBBBAAAEE4i5A/6xXwQDdL0A3EFy44D577tnt9q1FK6y5eWIwCG90pOEb7bmMLA9NYxrdDQDnzrnTZrUsdaVUt2Y0kJ8wYby7OWCucvoFgnXrnnDrL1v2PWtpudp9eq+Bun6pQH1U3apv5sypqtoUNJg39y7TTxbmKqdfINB6Wl/1hLfxrb3v2NHOY65/rlIeEEAAAQQQQAABBBBAAAEEYitAx7oK9CoYoCo0aF9273y7+JJxtmLlzTb+wvOU7VJD6EZ7LiN4SCTqbfbsa7oNnlXP6jVLTEnLg6LuagBd0u9/MlB5mcopX/Xefc+Nbv3lK25KBSS0TH1SvUq3LGpJta3ggspqea5yukJB62l9JV9e6yRDXxnQcxICCCCAAAIIIIAAAggggECsBOhMDoFeBwNy1Ok+mdeN9vTpea5y2ZZpEK5P/DXNVqac+bpfwNbnd5i+YlDOftA2AggggAACCCCAAAIIIIBAWID5fAX6FAzQp/L6ND/ToH3mV6d2+ZQ+3w5VQjltr7Zb218J/aWPCCCAAAIIIIAAAggggEDVCrBhvRLoUzCgVy2yEgIIIIAAAggggAACCCCAAAJ9EGDVvgsQDOi7ITUggAACCCCAAAIIIIAAAggUV4DaIxYgGBAxKNUhgAACCCCAAAIIIIAAAghEIUAdxRQgGFBMXepGAAEEEEAAAQQQQAABBBDIX4CSJRMgGFAyahpCAAEEEEAAAQQQQAABBBBIF+B5eQQIBpTHnVYRQAABBBBAAAEEEEAAgVoVYLtjIEAwIAY7gS4ggAACCCCAAAIIIIAAAtUtwNbFTYBgQNz2CP1BAAEEEEAAAQQQQAABBKpBgG2ItQDBgFjvHjqHAAIIIIAAAggggAACCFSOAD2tHAGCAZWzr+gpAggggAACCCCAAAIIIBA3AfpToQIEAyp0x9FtBBBAAAEEEEAAAQQQQKA8ArRaDQIEA6phL7INCCCAAAIIIIAAAggggEAxBai76gQIBlTdLmWDEEAAAQQQQAABBBBAAIG+C1BDdQsQDKju/cvWIYAAAggggAACCCCAAAL5ClCuhgQIBtTQzmZTEUAAgd4I7N7VavPm3mWzWpa69M1v3G/JZId1dh6zO25f45Lme1N3Mdbx/X3s0S1Zq/dl/DZpuu2FV7KW72mBPOSyatUjPRUt2XJtf2+2y9to/b50VsdET8eH2lAffZKhLHvbrtZVHeXeD74ffrvkII98tkvHodbTNJ/ylEEAAQT6LkANtSpAMKBW9zzbjQACCBQoMG3aRFux8mYbNmyo/d0Dj9jRo8cKrCEexTUAve3hhyRzAAAJ0ElEQVS2b9usWV+y1WuWuDRv3rW2fPlDsQtsWC//aeC5fftOt/bW53e4aZwe1D8NkLds2WbL7p3v9oH2xTnnnmkLF9xn2kdx6m9v+3LxJePc9rW1HbSnNj3X22pYDwEEEIhegBoRCAQIBgQI/EcAAQRqUaDjli9btpTNo65ugA07td40uDl69L1sxWKbr0+9n3zyJ6bAxvgLz0v1U/MajN6yqMW0jakFMZoZs3CqZUqZuvjW3nestXWfW/Rf//mqabvdk5g8aGCs/s2ZM90SifpUr2bPvsYFBq66ekIqL24zZ3z/uGVK2fo5cOAAUwBNwRkFQbKVIx8BBBAotgD1I5AuQDAgXYTnCCCAAAJZBTSYaTvQ4QY3Awd+vEs5LdOnvbrEOZz0KW+mZfrqgR+k6rLu8DqaD18mrXnl+aTyvvH0uleufNgv6jbVgEyZ48aN1SRrSr/MO9xe+rKVK9e7KyUOHDhozz273X2qnd5fPc/aWBEW/GjTs67WL3/li27qt9s9CR7St8HvC+WvDPyOHDlqGzZstmd/8l/uagntVzlrf6ms9mlQTeqrIn6/+KlfrjLpSfWoP42NI+yMkaelL+7yXP3RZf++3krbD9oYH5jRMecDTToe/Db5qbZT26t1wkmWvoyf+v2RqZ5cRtp32oe+fpX1dWqq+vwypgggUBUCbAQCOQUIBuTkYSECCCCAgBfQ4HDunDvdVQFfv+EaGxh84umXabp27ePu0+jFi693n+7qEmnlh9OgQQNNy3VpuAZGftDqy+hyfX0V4dxzzzJ9gq+BowYouoRfy/TpvdZ99Re/NA1ktF56u+ece6ZpMKtl6WnP3v3uk/+GxJD0RannGpDd/lerTfVkam/9+k2urPqh5XPmzDB5nHrqUNM2X3b5BbZu3RNuXsuVdOWBW6kED+q/fD79mXNs0qTPmaYafMtSzWt5ePvUP5V58MEfuX2qT+u1n3T1xGcv+A2tkjWl22v7sxY+sUBfL9GVJbrCRMfAiexuk/R+ylvb5fd73PeDNkjBIX0lRfMKBmiqwfjq1T9MHR86H+StZelJx77OO+0L7SedA+ll9FzuWq5y/kqQdD8t9/tZx4Ic5SlXLVPdOs/UpuokIYBApQrQbwTyFyAYkL8VJRFAAIGaFtBAQ4OGu++5scul3UJpbz9kGlhosNE0plFZduXkSyx9kOM/DVYgQZdO6yoDDUy0ggbTTWNGucG6BooaMGrg6L/zroGKPr3Ud8r1Kbzae+21PXm1q/qVRo0c7j7Nbk8e0tOM6ZmnX3Rl1H8VSCTqbcKE8eYHWapD7asfGlCpTDj5bdNAUP0t9eBq9649pv5d9Fvnu25p+otfvGE/e3m3e56+fcrU5fmFfkVCg03tg572ueoPJ+8T3vfh5X4+vZ+Vth+0HX6QLqNly77nvq6hwIyW+eOrKThftFx56UnHvs4LBZi07JOfarJzg0CZ5sNJ+1jPdX4pEJYMju90Py33+1nnlfadjhMdxzpOdX6pjNrUlIQAAhUkQFcR6KUAwYBewrEaAggggEDpBDQg8p9gKiChpKDE0KGDC+qE/3TWD8gKWvlEYX2fXZ+i6qkG/OkBAX3arYG1BoIqo0FWqQICCqzoigrfbhwHefLRftA9A3QJvframxTn/ZC+PRqs+0F6+rJyPtcxqnMpnBQwKGefaBsBBPIToBQCUQgQDIhCkToQQACBGhdoaBjiLqv3n56LQ18B0ABI831JGkjpE0x/WXgy2eG+x66pPi0+59wzU5/aq51c7epT2ClTLnXfhw8P0DWvgbMG9voUVgNW1aP61I7ueq9Pb7W+8nTZv4ITClLoeaakQZUPGmRaXow8Da41yPZXcfhBngZ9+iRY25K+feqHtlvfTdd8OMkhfJVGMvjEWftUn0AXah+ud9Lki0116P4EyWB/+mXqh/aD9kd6P1WuUvaD3x4/1T7RVTKJxBBTIET5/vjS1wZ03igvPfljX5/ya5mu7tBVHprvKaX7qbx8tZ/9vlMwS9ZapqmWa56EAAKxFKBTCEQuQDAgclIqRAABBCpDoP6O71u21Jst0OBXA2Z9R1oDOg00elNP+joaeGtQrfpUry5rVpmXT1z2Xmi7/hNlfWKv+pQ0rzZUlwZKi741y339QMvUngIOWqZP3nXzNp+vfsyYMVmTVNLgTjdqUxnVq4G4tiFVoJczu5Y9bplSuDp/xYMfcPpluiRdfdegMn371E8NRvv16+e+HuHX8dOZM6e6G0bKQdujQIPfHpn0Zp8ryKCrJ+SqetUHJQUsFGRR/en9VDmVV5valnLth7e+3N8yJe8VnvpjVt/7109ZKpiktHDhH7oAlrZZ54sCLOH1/LwcdFy69VuWup+/9Mt6mqb7qa3wfpajjk3tUy3TtG7gAPdVhp7qZjkCCJRKgHYQKK4AwYDi+lI7AgggUPECGrwsX3GTaRAd3hg/oNOgTvNapgGG/zTaT7WelquckuaVNK+kea2ny/41gPH1hJ9rUOTr01Tr/fZvf1ZFXdL6yg8ntesWZnhIr0/rKc8XVT/UvvKVVL+Wqa9qW3lKKqOySppXOe+l5UrK07qlSNpm7Sv1Idyenitfy5Xv+6v+KWnZ1Ksud/drSC+bvs2+DtWjpO1THeGkMn49eWleZdNT+royVN98Oc0rz9et8lqm+lSvz1cZlVXSvMr57fBllKd1S5F8P3zbmoaPr/S+abn6rfVUTs81VV811fNw0rbLwC/TNFzWP1d9qtevG97PKi8Tv0zTmV+dauqblpEQQKBMAjSLQAkFCAaUEJumEEAAAQQQQAABBBBAAIGwAPMIlEuAYEC55GkXAQQQQAABBBBAAAEEalGAbUYgFgIEA2KxG+gEAggggAACCCCAAAIIVK8AW4ZA/AQIBsRvn9AjBBBAAAEEEEAAAQQQqHQB+o9AzAUIBsR8B9E9BBBAAAEEEEAAAQQQqAwBeolAJQkQDKikvUVfEUAAAQQQQAABBBBAIE4C9AWBihUgGFCxu46OI4AAAggggAACCCCAQOkFaBGB6hAgGFAd+5GtQAABBBBAAAEEEEAAgWIJUC8CVShAMKAKdyqbhAACCCCAAAIIIIAAAn0TYG0Eql2AYEC172G2DwEEEEAAAQQQQAABBPIRoAwCNSVAMKCmdjcbiwACCCCAAAIIIIAAAh8JMIdA7QoQDKjdfc+WI4AAAggggAACCCBQewJsMQIIOAGCAY6BBwQQQAABBBBAAAEEEKhWAbYLAQS6CxAM6G5CDgIIIIAAAggggAACCFS2AL1HAIEeBE4EA/q91n7wMSNhwDHAMcAxwDHAMcAxwDHAMcAxwDFQmccA+439xjGQ7zFg1u+1/x8AAP//W/m9TgAAAAZJREFUAwBWsvbauj5snwAAAABJRU5ErkJggg==">
          <a:extLst>
            <a:ext uri="{FF2B5EF4-FFF2-40B4-BE49-F238E27FC236}">
              <a16:creationId xmlns:a16="http://schemas.microsoft.com/office/drawing/2014/main" id="{2E0CC930-FAB9-4038-BC66-B950244822B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304800"/>
    <xdr:sp macro="" textlink="">
      <xdr:nvSpPr>
        <xdr:cNvPr id="5" name="AutoShape 4" descr="data:image/png;base64,iVBORw0KGgoAAAANSUhEUgAABAMAAAF6CAYAAABsq5GAAAAQAElEQVR4AezdD5xU1X3//w9iAouw7KCgsKhZ0H5NJInFGjVVfPD7gSS/ollqwTbpl2TRlgi0P4Hkp5Iipbb++SpqW8DSJtDQNCj+DERtHxr8lm/R/KJFibZg/CYCalxQkJ1lQRaMxN99Hznj3dmZ2ZndOzN3Zl48OHPvnHvuOec+772zcz5z585Jxj8EEEAAAQQQQAABBBBAAAEEEKh2gS7b54IBe9+++wMSBhwDHAMcAxwDHAMcAxwDHAMcAxwDHAMcAxwD1XQMZNuWe3a7YIDCAw1DrzISBhwDHAMcAxwDHAMcAxwDHAMcAxwDHAMcAxwDFXwM5DG2N/vgE6lggAICJAQQQAABBBBAAAEEEEAAAQQQqCyB3vSWYEBv1FgHAQQQQAABBBBAAAEEEEAAgfIJ9LllggF9JqQCBBBAAAEEEEAAAQQQQAABBIotEG39BAOi9aQ2BBBAAAEEEEAAAQQQQAABBKIRKGItBAOKiEvVCCCAAAIIIIAAAggggAACCBQiUKqyBANKJU07CCCAAAIIIIAAAggggAACCHQXKEsOwYCysNMoAggggAACCCCAAAIIIIBA7QqUf8sJBpR/H9ADBBBAAAEEEEAAAQQQQACBaheI2fYRDIjZDqE7CCCAAAIIIIAAAggggAAC1SEQ560gGBDnvUPfEEAAAQQQQAABBBBAAAEEKkmgYvpKMKBidhUdRQABBBBAAAEEEEAAAQQQiJ9AZfaIYEBl7jd6jQACCCCAAAIIIIAAAgggUC6BKmiXYEAV7EQ2AQEEEEAAAQQQQAABBBBAoLgC1VY7wYBq26NsDwIIIIAAAggggAACCCCAQBQCVV0HwYCq3r1sHAIIIIAAAh8JrFr1iM1qWWrbXnjlo8wizSWTHfbNb9zvkuaL1AzVIoAAAgggELFA7VRHMKB29jVbigACCCBQBoHHHt3iBuAahPeU7rh9jXV2HitDL2kSAQQQQACBGhao0U0nGFCjO57NRgABBBBAAAEEEEAAAQRqVYDtNiMYwFGAAAIIIIBAEQWuunqCrV6zJJVWrLzZzj33LBs0aKAtXnx9Kl9lblnUYnV1A4rYG6pGAAEEEECgZgXY8DQBggFpIDxFAAEEEEAAAQQQQAABBBCoBgG2IZcAwYBcOixDAAEEEEAAAQQQQAABBBCoHAF6mrcAwYC8qSiIAAIIIIAAAggggAACCCAQNwH60zsBggG9c2MtBBBAAAEESibwwQcf2Kuv/tJWrFhvf/ond6d+nUDzytMylcnUIf2MoP8Vg+ee3e6KLF/+UKoO/dqBy0x7+PWvf20/3faK3XP3P9kNX789VV5t/v3f/8B272o1tanpvLl3WSG/hHDkyFH73j/9q6v3ull/YX/2rZW2fftOV19aN3iKAAIIIIBAJgHyIhAgGBABIlUggAACCCBQLIH29kP2N3+9zg22X3j+Z3b48JFUU5pX3u1/tdr++v51prKphX2Y2bNnv91227ftb//2IXv55V127NivUrWpzWd/8l/2l3/5HfvHNY/Ze796P7Usnxmtf++yf7Z/+7etrl4FFNTefff+s/3gB/9m779/PJ9qKIMAAgggUHMCbHDUAgQDohalPgQQQAABBCISeOeddvfJ/Esv/cIGnTLQfvd3/w9bdu98+87qW13SvPJOGVxn//mfv3BltU64+fEXnpf6xYKLLxnnFs2bd20qT7924DJPPOza9abdded37fXX9lp9/Sn232f+jv3133zDlVe7vs1BQX+efvqntva7jwcD+PwDAv/fj18ytTF8eMKWLPlj+/Z3Ftuib82yYcPq7V//5cf2P5/6jxM9YYIAAgggUPMCABRVgGBAUXmpHAEEEEAAgd4JvPfer+yf1v6L6VPzc845M/ik/gabetXllkjUW79+/VzSvPL+/M9nm8qo7Orv/NA6O4/1qtG2toP27X/YaIcOvWufu3ic3XnXn9rEib9lQ4ac4urr16+fa19t3nnnn9gnP9lke/e+Y++9l38wYPdre1xdv/d7/6ed/YmRdtJJJ7m+33Tz1+yyyy6wCRN+0y3nAQEEEECgNgXY6tIJEAwonTUtIYAAAgggkLfASy/+3F2if/rpw+yPZ/+uNTQMybruqacOdWVU9n//79ftpz99JWvZXAs2b37e3nrrgP23/3a2fXXm79jAgR/PWvyUU+rshjm/5wb0WQvlWHCk82iXpaed1mAts662ukEDu+TzBAEEEECg6gXYwDIJEAwoEzzNIoAAAgggkE3g+PFf27PP/pdp+oUvft40UM5W1uerjMrqO/i6j4DW9cvymb57uNN0E7/+/U+yL3zxt/MalA8ePMgmT77YXaWQTxsq8+lPn+PK/78P/0976aWfc9NAoZAQQACBmhNgg+MgQDAgDnuBPiCAAAIIIBASOHKk095+u81dnj927JmhJblnVVaX9Gtd1ZG7dNelyfZD1nagw04//VQbM2ZU14U5np1zzlnu3gI5inRZ9LnPjXNfB9AvCvzNXz9od/+PtfbG63sJCnRR4gkCCCBQhQJsUuwETopdj+gQAggggAACNS6gO+ofO/aeffzjJ9spp+R/2bzKah2tqzoKYfzVe7+y48ePB+3V2cknn5z3qh/7WP+gfP+8y598cn/76tem2nXXf8ndFPGVV16zpUv/wZYvX2/vvtuZdz0URAABBBCIvwA9jLcAwYB47x96hwACCCBQgwIaMA8Y8HF3Y7533z2at4DK6mZ+Wld15L1iUPBjH/+Y9e/f3w3I338//xsC/upXx+39An8O8KSTTrLPf/6zdvfdN9qMGZNdUOCn216xu+78R9NNDIPu8B8BBBBAoDIF6HUFCRAMqKCdRVcRQAABBGpDYNCgOjv99GF2+PARe+ONvXlvtMpqHa2rOvJeMSiYaBhiw06tt7ffPmC7dn14x/8gu8f/r776hnV0vNtjuUwFBg78uH3hi583/TLBb/zG2fbmm/tMNzHMVJY8BBBAAIG4CtCvShU4qVI7Tr8RQAABBBCoVoH+/U+yC3/rk27z/vVffmwHDx5287keVEZlVUbrqg7N55tOGVxn48aNNd148F8ef9o6j/R8RYICD5s2Pdfn7/ufckqd/c7Uy0x9fv21vaafVcy335RDAAEEECiDAE1WhQDBgKrYjWwEAggggEC1Cfzmb57nfuJvz5799verfuAu38+2jfquvcqorH4WUOtmK5srf+LE37IzzjjVXn31l/YP/7ChxzZXf+eHpsF7rjrDy/R1ggcf/JH9/Oevh7PdvIIZv/71B+5XDD72sZNdHg8IIIAAAvERoCfVJ0AwoPr2KVuEAAIIIFAFAnV1A2zWdV9yXxf42c922803/61t+tGzlkx2uE/i9ROCmleelqmMvh6gdbRubwiGDRtq1/9Rs/sVgxdf/HnWNh9/7Gm3TGX06wX6RD+f9hRk+F+bt5p+ReCZZ1509xpQgEDzD6570lXx2c+e63560D3hAQEEEECgnAK0XeUCBAOqfAezeQgggAAClStw2mkNdtPNX3NXCLx7uNPWBQPmhQvus+tm/YVLmleelumKAJXVOn3Z4jFjRgdtftXOPPN0U72qX+2E2/zBD/7Njrx71C659NM2++u/a7phYT5tqo9XX32FHT36numqgj/+o780Jc3rpwY///nPmH56MJ+6KIMAAgggUAwB6qwlAYIBtbS32VYEEEAAgYoTaGgYYt/8f2bazbd8zd1HoG7QRz81qHndH0DLVEZlo9jAUaOG25I//2P7kz+51j71qTHBYP9jrtp+/fpZIlFvl1/+m7b0L75uf/RH06xu4AC3LJ+Hfv362Rf/r99223LOOWeavg7Qr18/UwDjq1+bal/92lUF/UxhPm1SBgEEEECgBwEW16wAwYCa3fVsOAIIIIBAOQR0Cf8ti1ps+YqbrGlMY15dOOmkk0x32587d4atCNZbvWaJKWleeVqmMj1VNnv2NW698Ree11NRU32/Of48+8Y3/7s98HeL3HrfWX2rLbt3vrXMutpGjx7hLufXNmhbtE3aNl+xggZ333OjKWne5/fr188UCFj0rVm26u+/Zarzf9z9f9sVV1xIIMAjMUUAAQSKLED1CEiAYIAUSAgggAACCCCAAAIIIIBA9QqwZQh0EyAY0I2EDAQQQAABBBBAAAEEEECg0gXoPwK5BQgG5PZhKQIIIIAAAggggAACCCBQGQL0EoECBAgGFIBFUQQQQAABBBBAAAEEEEAgTgL0BYHeChAM6K0c6yGAAAIIIIAAAggggAACpRegRQQiESAYEAkjlSCAAAIIIIAAAggggAACxRKgXgSiFyAYEL0pNSKAAAIIIIAAAggggAACfRNgbQSKLEAwoMjAVI8AAggggAACCCCAAAII5CNAGQRKKUAwoJTatIUAAggggAACCCCAAAIIfCTAHAJlEyAYUDZ6GkYAAQQQQAABBBBAAIHaE2CLEYiHAMGAeOwHeoEAAggggAACCCCAAALVKsB2IRBDAYIBMdwpdAkBBBBAAAEEEEAAAQQqW4DeIxB3AYIBcd9D9A8BBBBAAAEEEEAAAQQqQYA+IlBRAgQDKmp30VkEEEAAAQQQQAABBBCIjwA9QaByBQgGVO6+o+cIIIAAAggggAACCCBQagHaQ6BKBAgGVMmOZDMQQAABBBBAAAEEEECgOALUikA1ChAMqMa9yjYhgAACCCCAAAIIIIBAXwRYF4GqFyhKMOCxR7fYthdeqXo8NhABBBBAAAEEEEAAAQSqRYDtQKC2BCINBnR2HrM7bl9jGzZstuXLH+oSEEgmO+yb37jfZrUsdSkcLFDwwOevWvVI1j2QrZxv19cRrlvzPl99U9lMDeQql63dTPWQhwACCCCAAAIIIIAAAhUiQDcRqGGBSIMBT216zsaNG2vTpk20665vtq3P7zAFATQA/+4/Pm5z5ky31WuW2IqVN9uWLdts965WFzDYvn2ny9My7QsNvjUNJw3Ws5Vbu/Zx167WX3bvfNu4cbOrW/VrXnlapr6pbLhezecql6tdrUtCAAEEEEAAAQQQQACByhGgpwgg8KFApMEAVdnYOEITqxs4wGbPvsYSiXqrqxtgw4bVu3w9HD16zBQgaEgMcQGDKVMudWW0bMaMybZn7363XM99UmAhU7m9e9+xtgMddtnlF7iiiaC95uaJpsCB0kUXne/6oIWTJl+siQtQuJkTD7nKZWtX/T+xOhMEEEAAAQQQQAABBBCIrwA9QwCBDAKRBgM0IF+37gnbunVHt6amB4P8Bx/8kfuKwO1/tdq+fsM1NjAIGKhg05hRmrjk8xQwcBnBgx94Zyq3b1+bNTYOTw34g+LB/BA34NdVCboaQHlKCkooSNGePKSnqZSt3NtvHXBlMrUb7p8rxAMCCCCAAAIIIIAAAgjERIBuIIBATwKRBgP0qfzd99xojaNHdLlngAbz99/3fdMn+7pcf9G3Ztl99/6zvf7anm79yzZgTy/oXIBynwAAEABJREFUyx0+dCR9kTUkhljn0WP2/vHj3ZYlEvVBoKBrMKBboSBD5drbDwdzXf/7dtMDCl1L8QwBBBBAAAEEEEAAAQRKKkBjCCBQkECkwQDf8qiRw23evGvdVwD0/f+39r7jPr0ff+F5rogG2rqU/+WXd7vn4QcFDjSQbwgG9OH89HlfbvCQQemLTAN1XQFwcv/+3ZbpKoBED3VrJZVraBis2S7Jt9tT/7qslPbkYLvZG6/3I2HAMcAxwDHAMcAxwDHAMcAxwDHQh2OA99SMKWr5GNC4Mm2oWdDTogQDfA/0/f+jx95zn8Qngk/kfb6ffuxjJ7vZ3bs+ukLAX37vvy6gAvo0XtNM5UaMGGatrfuDNjpUxKVk8pCpPSXdD8BlBg/ZBvLZyp1+xqnBWmaZ2g33zxUq4GFog9lZZ39AwoBjgGOAY4BjgGOAY4BjgGOAY6CwYwAvvDgGThwDQ4NxZQHD0G5FIwsGJJMdduviB4KBc2uqkWeeftHa2g6avnOv+wjorv1aqLK6y7++z3/l5EvcLwtooK5l69dvMl1ZoACAyunnADXNVm7kyNPcLwmoLa2vsr5u3cNAwQDlaZl+7UBTDf419SlXuWztqn9+faYIIIAAAggggAACCCBQLAHqRQCBYgicFFWlGmDPX/AVW7nyYduwYbO7Z4AG4jNnTnWf0re0XG3Lln3P3UBw4YL7rLl5YhAkaHRp7NjRNnfOnW6Z+nPV1RM0CQILe9xAX3U3jWm0bOX0KwFqa1bLUgvXrfV0nwLlaZnKqD+qXIGJeXPvcj9tmKtcrnZVDwkBBBBAAAEEEEAAAQQiFqA6BBAoukBkwQD1VINq3UBw2rSJ7p4BtyxqSf1koAbVy1fcZLqBoJK/f4DW0+BfeUr6OULlKe3c9WbqJwP1PFs5fUqvtrS+UrhuzStPSWVUVnX5/mi5nmuqMkrhclqWrV0tIyGAAAIIIIAAAggggEDfBagBAQRKKxBpMCDqrk+fPsldVRB1vdSHAAIIIIAAAggggAACZRegAwggUEaBogQD9Em6Pmkv43bRNAIIIIAAAggggAACCMROgA4hgEBcBIoSDIjLxtEPBBBAAAEEEEAAAQQQKLMAzSOAQCwFCAbEcrfQKQQQQAABBBBAAAEEKleAniOAQPwFCAbEfx/RQwQQQAABBBBAAAEE4i5A/xBAoMIECAZU2A6juwgggAACCCCAAAIIxEOAXiCAQCULEAyo5L1H3xFAAAEEEEAAAQQQKKUAbSGAQNUIEAyoml3JhiCAAAIIIIAAAgggEL0ANSKAQHUKEAyozv3KViGAAAIIIIAAAggg0FsB1kMAgRoQIBhQAzuZTUQAAQQQQAABBBBAILcASxFAoNYECAbU2h5nexFAoOIFOm75ssU5VTwwG4AAAgjUigDbiQACNS1AMKCmdz8bjwACCCCAAAIIIFBLAmwrAggg4AUIBngJpggggAACCCCAAAIIVJ8AW4QAAghkFCAYkJGFTAQQQAABBBBAAAEEKlWAfiOAAAI9CxAM6NmIEggggAACCCCAAAIIxFuA3iGAAAIFChAMKBCM4ggggAACCCCAAAIIxEGAPiCAAAJ9ESAY0Bc91kUAAQQQQAABBBBAoHQCtIQAAghEJkAwIDJKKkIAAQQQQAABBBBAIGoB6kMAAQSKI0AwoDiu1IoAAggggAACCCCAQO8EWAsBBBAogUBRggGPPbrFtr3wSgm6TxMIIIAAAggggAACCFS+AFuAAAIIlFog0mBAZ+cxu+P2NbZhw2ZbvvyhVEDA589qWWrhpKCBNlhTn79q1SPKypiylUuvPxyI0LyvW31T2UyV5yqXrd1M9ZCHAAIIIIAAAggggEAeAhRBAAEEyioQaTDgqU3P2bhxY23atIl23fXNtvX5HZZMdlhd3QC7ZVGLrV6zxKXFi6+3z3zmXJs0+WIXMNi+faetWHmzWyYNDb41DScN1rOVW7v2cdeu6l9273zbuHGz7d7V6pLmladl6pvKhuvVvMpmK5erXa1LQgABBBBAAAEEEEAgPwFKIYAAAvERiDQYoM1qbByhidUNHGCzZ19jiUS9ex5++NGmZ23ChPGmIIECBlOmXOrmVWbGjMm2Z+9+S/8EP1u5vXvfsbYDHXbZ5Rdodddec/NEU+BA6aKLznd5Wqjgg6YKUGjqU65y2dpN75+viykCCCCAAAIIIIAAAikBZhBAAIGYCkQaDNCAfN26J2zr1h1ZN1efwnceOWaf/FRTasDfNGZUqvzAIIigJ0ePHtPEJT/wzlRu3742a2wcnhrwa4VEYoi7IkGDfl0NoDwlBR8UpGhPHtLTVMpW7u23DrgymdoN988V4gEBBBBAAAEEEEAAATMDAQEEEKgEgUiDAboK4O57brTG0SO63DMgDBG+KiCc7+ezDdj9cj/15Q4fOuKzUtOGIBjQGQQT3j9+PJXnZxKJ+iBQ0DUY4JeFpyrX3n44nOXmfbvpAQW3kAcEEEAAAQQQQACBWhRgmxFAAIGKE4g0GOC3ftTI4TZv3rXungHh7/+HrwrwZdOnugpAA/mGYECfviz83JcbPGRQONvNa6CuKwBO7t/fPQ8/6CoAXTkQzss0r3INDYO7LfLt9tS/biuGMg62m73xej8SBhwDHAO9OgZCLyexnK3V17czvn/c4pxqdb+w3bzfKN4xgC22HAMcA+U9Bg4G48q+vBksSjDAd0jf/z967D3/1NKvCtCn7Fq4e9ceTVzyl9/7rwsoM1e5ESOGWWvr/uDT/g4VdSmZPOS+NpBI1Lt7B7jM4CHbQD5budPPODVYy6yn/rlCBTwMbTA76+wPSBhwDHAM9OoYKODlpixFa/X1rSzYBTRaq/uF7eb9RqTHAH+3evV3i33AecgxUJxjYGgwrizgrUC3opEFA5LJDrt18QPBwLk11cgzT79obW0H3fNsVwVcOfkS27JlW+r+AevXbzJdWaAAgOrUzwFqmq3cyJGnuV8SUFtqSGX1ywC6V4DuYaCbAypPy/RrB5pq8K+pT7nKZWtX/fPrM0UAAQQQQAABBBCoTgG2CgEEEKhWgZOi2jANsOcv+IqtXPmwbdiw2d0zQAPxmTOnuibSrwpwmcFD05hGGzt2tM2dc6fNalka5JhddfUEN9Un8hrUq+5c5fQrAWpL6y9ccJ81N080ldd6+qUC5WmZyvj+KDgxb+5d7qcNc5VTPdn65zrJAwIIIIAAAggggEA1CbAtCCCAQE0IRBYMkJYG1bqB4LRpE909A25Z1JL6yUD9zOD4C89TsW5Jg//Va5aYksr5Ajt3vZn6yUDlZSunT+nVltZXCrejeeUpqYzKqi4N8pevuMm0XM81VRmlcDkty9aulpEQQAABBBBAAAEEKl2A/iOAAAK1JxBpMCBqvunTJ7nv/kddL/UhgAACCCCAAAII1LgAm48AAgjUuEBRggH6JF2ftNe4LZuPAAIIIIAAAgggECMBuoIAAggg8JFAUYIBH1XPHAIIIIAAAggggAACZROgYQQQQACBLAIEA7LAkI0AAggggAACCCBQiQL0GQEEEEAgHwGCAfkoUQYBBBBAAAEEEEAgvgL0DAEEEECgYAGCAQWTsQICCCCAAAIIIIBAuQVoHwEEEECgbwIEA/rmx9oIIIAAAggggAACpRGgFQQQQACBCAUIBkSISVUIIIAAAggggAACUQpQFwIIIIBAsQQIBhRLlnoRQAABBBBAAAEEChdgDQQQQACBkggQDCgJM40ggAACCCCAAAIIZBMgHwEEEECg9AIEA0pvTosIIIAAAggggECtC7D9CCCAAAJlFiAYUOYdQPMIIIAAAggggEBtCLCVCCCAAAJxEiAYEKe9QV8QQAABBBBAAIFqEmBbEEAAAQRiK0AwILa7ho4hgAACCCCAAAKVJ0CPEUAAAQQqQ4BgQGXsJ3qJAAIIIIAAAgjEVYB+IYAAAghUoADBgArcaXQZAQQQQAABBBAorwCtI4AAAghUugDBgErfg/QfAQQQQAABBBAohQBtIIAAAghUlQDBgKranWwMAggggAACCCAQnQA1IYAAAghUr0BRggGPPbrFtr3wSvWqsWUIIIAAAggggEBIoOOWL1ucU6irPc2yHAEEEECgRgQiDQZ0dh6zO25fYxs2bLblyx/KGhBIDxbo+ayWpaa0atUjWemzlfPtan2lcCBC88pTUt9UNlMDucplazdTPeQhgAACCCCAAAKVJUBvEUAAAQRqUSDSYMBTm56zcePG2rRpE+2665tt6/M7LJns6OK6e1er7dz5pn3yU00uX4Pw7dt32oqVN9vqNUtcngbfbib0kKvc2rWPu3a1/rJ759vGjZtN7ShpXnlapr6pbKhaN5urXK523co8IIAAAggggAAClSZAfxFAAAEEal4g0mCANBsbR2hidQMH2OzZ11giUe+e60Gfyv/wh/9uX/rSFVZXN0BZLmAwZcqlqeczZky2PXv3m8q6AiceFFjIVG7v3nes7UCHXXb5Ba6k2mtunmgKMChddNH5qT5MmnyxK5MeoMhVLlu76f1zFfOAAAIIIIAAAgjEVIBuIYAAAgggEBaINBigAfm6dU/Y1q07wm2k5nXlwNixo61pTKPL8wPqpjGj3HM9DAyCCJoePXpME5dyldu3r80aG4enBvxaIZEY4q5I0KBfVwMoT0kBCAUp2pOH9DSVspV7+60DrkxP/XOFeEAAAQQQQAABBOIlQG8QQAABBBDIKhBpMECfyt99z43WOHpEt3sG6FL8J5/8ibufgL6/r8vvM/Uq24A9vawvd/jQkfRF1hAEAzqDYML7x493W5ZI1AeBgq7BgG6FggyVa28/HMx1/e/bTQ8odC3FMwQQQAABBBBAoBwCtIkAAggggEB+ApEGA3yTo0YOt3nzrnVfAfDf/3/66Z/awoV/6O4LoPsDKDDw0os/96ukproKQAP5hmBAn8rMMOPLDR4yqNtSDdR1BcDJ/ft3W6arAHTlQLcFaRkq19AwOC3X3NcX8ulftxVDGQfbzd54vR8JA44BjoFeHQOhl5NYztbq61ssd0aoU7W6X0q13SHq0s/m0WKpHGiH93ccAxwDHAOlOwY0rszjT0DWIkUJBvjW9P3/o8fe6zaA1qfr+v7//v1JV3T3rj1uqgf/9QD/dQHlqbymmcqNGDHMWlv3B5/2f3SjwmTykPvaQCJR7+4doHWVfAChIS3QkMhS7vQzTtVqlqndcP9coQIehjaYnXX2ByQMOAY4Bnp1DBTwclOWorX6+lYW7AIardX9UqrtLmBXRFK00EpK5UA7vL/jGOAY4Bgo3TEwNBhXFvr3IFw+smBAMtlhty5+IBg4t6bqf+bpF62t7WDq5oB6roUalG/Zss39AsCVky8xzStPy9av32S6skABANWpnwPUNFu5kSNPc/X4ulV248bNLk/3MNDNAZWnunXPAk01+NfUp1zlsrWr/vn1mSKAAAIIIIAAAkUWoHoEEEAAAeuTpHQAABAASURBVAQiFTgpqto0wJ6/4Cu2cuXD7r4Ay5c/5D6VnzlzqmtCUw3Mdb+AuXPutAkTxrsbCTaNaTTdVFB5WqbCV109QZMgsLDHDepVd65y+pUAX/fCBfdZc/NEV7fW0xUIylPdKqN+qHLdw2De3LtM9y7IVS5Xu6qHhAACCCCAAAIIFEeAWhFAAAEEECieQGTBAHVRg2rdQHDatInungG3LGpJXRWgT9L1fPWaJe6+AeMvPE+ruKTBv8/XzxG6zOBh5643Uz8ZGDy1bOVy1a12fN1qX2VVlwb5y1fcZFqu55pmKqdl2drVMhICCCCAAAIIIBCZABUhgAACCCBQIoFIgwFR93n69Enuu/9R10t9CCCAAAIIIIBAXAToBwIIIIAAAuUQKEowQJ+k65P2cmwQbSKAAAIIIIAAAjEXoHsIIIAAAgiUXaAowYCybxUdQAABBBBAAAEEYiVAZxBAAAEEEIiXAMGAeO0PeoMAAggggAAC1SLAdiCAAAIIIBBjAYIBMd45dA0BBBBAAAEEKkuA3iKAAAIIIFApAgQDKmVP0U8EEEAAAQQQiKMAfUIAAQQQQKAiBQgGVORuo9MIIIAAAgggUD4BWkYAAQQQQKDyBQgGVP4+ZAsQQAABBBBAoNgC1I8AAggggECVCRAMqLIdyuYggAACCCCAQDQC1IIAAggggEA1CxAMqOa9y7YhgAACCCCAQCEClEUAAQQQQKBmBAgG1MyuZkMRQAABBBBAoLsAOQgggAACCNSmAMGA2tzvbDUCCCCAAAK1K8CWI4AAAggggIARDOAgQAABBBBAAIGqF2ADa1PgjO8ftzin2twrbDUCCMRFgGBAXPYE/UAAAQQQQACBKAWoCwEEEEAAAQRyCBAMyIHDIgQQQAABBBCoJAH6igACCCCAAAL5ChAMyFeKcggggAACCCAQPwF6hAACCCCAAAK9EiAY0Cs2VkIAAQQQQACBcgnQLgIIIIAAAgj0XYBgQN8NqQEBBBBAAAEEiitA7QgggAACCCAQsQDBgIhBqQ4BBBBAAAEEohCgDgQQQAABBBAopkBRggGPPbrFtr3wSjH7Td0IIIAAAgggUG0CbA8CCCCAAAIIlEwg0mBAZ+cxu+P2NbZhw2ZbvvyhbgEBBQlmtSw1pXlz77Ldu1rdhobzV616xOVleshWzrerepXCgQjNK09JfVPZTHXnKpet3Uz1kIcAAggggAAC+QtQEgEEEEAAAQTKIxBpMOCpTc/ZuHFjbdq0iXbd9c229fkdlkx2pLZsz979Nm/etbZ6zRJbvuImaxrT6AIG27fvtBUrb3b5KqzBt6bhpMF6tnJr1z7u2lW9y+6dbxs3bnaBBgUbNK88LVPfVDZcr+ZzlcvVrtYlIYAAAggggEBBAhRGAAEEEEAAgRgIRBoM0PY0No7QxOoGDrDZs6+xRKLePVdQoO1ARxAAGOWe+wcFDKZMudTq6ga4rBkzJpuCBumf4Gcrt3fvO6Z6L7v8Are+2mtunmgKHChddNH5qT5MmnyxK6O+uJkTD7nKZWs3vX8nqmKCAAIIIIAAAt0EyEAAAQQQQACBuAlEGgzQgHzduids69Yd3bazPXnIWlv32cIF97mvCegTdz+gbhrzUYBgYBBE0MpHjx7TxKVc5fbta7PGxuGpAb9WSCSGuCsSNOjX1QDKU1LAQUEK9UXPfcpW7u23DrgiPfXPFeIBAQQQQAABBD4SYA4BBBBAAAEEYi0QaTBAn8rffc+N1jh6hKXfM6BpTKPpqwG6XF+X7evy/ddf29MNJ9uAPb2gL3f40JH0RdYQBAM6g2DC+8ePd1uWSNQHgYJD3fLTM1Suvf1wera7giFTQKFbQTIQQAABBBCoMQE2FwEEEEAAAQQqRyDSYIDf7FEjh7t7A+gS+0zf/9dAW5fyv/zybr9KaqqrADSQbwgG9KnMDDO+3OAhg7ot1Sf/GrCf3L9/t2W6CkBXDnRbkJahcg0Ng9NyzXy7PfWv24qhjIPtZm+83o+EAccAx0CvjoHQy0ksZ2v19S2WOyPUqSLtl14dw9XYlxB1LGer0TyfbYrlzgh1Kp9toAzvmTkGOAayHQMaV4ZeUgqeLUowwPdC3/8/euw9dzO/++/7vhtI+2X6ysAnPvHh1wN27/roCgH/9QD/dQGV11UAmmYqN2LEMGtt3R982v/RjQqTyUPuawOJRL27d4DWVco2kM9W7vQzTtVqQf9z988VKuBhaIPZWWd/QMKAY4BjoFfHQAEvN2UpWquvb2XBLqDR6PYLf78yWRawK8pSNFOfayGvLNgFNFoL+4Bt5DWTY6B4x8DQYFxZwEtOt6KRBQOSyQ67dfEDwcD5w58LVEvPPP2itbUdNH1FoG7QAPvZiSsBdPd+3Vegacwou3LyJbZly7ZUoGD9+k2mKwsUAFCd+jlATbOVGznyNPdLAmpLbaqsvoKgewXoHga6OaDytEy/dqCpBv+a+pSrXLZ21T+/PlMEEEAAAQSqWoCNQwABBBBAAIGqEzgpqi3SAHv+gq/YypUP24YNm033DNBAfObMqa4JXSWgmwvOallqy5Z9z1parnaf3jeNabSxY0fb3Dl3uhsLqvBVV0/QJAgs7HEDfdWdq5x+JUBtqW7doLC5eaILQGg9/VKB8rRMZXx/FJCYN/cu99OGucrlatd1kgcEEEAAAQSqUIBNQgABBBBAAIHqFogsGCAmDap1A8Fp0ya6ewbcsqjF3XAvvEw3ENSNBDXIVr6SBv/KV9LPESpPaeeuN02f2mteKVs5fUqvtrS+0vgLz1NxlzSvPCWVUVktUPvqh5bruaYqoxQup2XZ2tUyEgIIIIAAAlUiwGYggAACCCCAQA0JRBoMiNpt+vRJ7uqBqOulPgQQQAABBBCQAAkBBBBAAAEEalWgKMEAfZKuT9prFZXtRgABBBBAILYCdAwBBBBAAAEEEAgEihIMCOrlPwIIIIAAAgjERIBuIIAAAggggAAC6QIEA9JFeI4AAggggEDlC7AFCCCAAAIIIIBATgGCATl5WIgAAggggEClCNBPBBBAAAEEEEAgfwGCAflbURIBBBBAAIF4CdAbBBBAAAEEEECglwIEA3oJx2oIIIAAAgiUQ4A2EUAAAQQQQACBKAQIBkShSB0IIIAAAggUT4CaEUAAAQQQQACByAUIBkROSoUIIIAAAgj0VYD1EUAAAQQQQACB4goQDCiuL7UjgAACCCCQnwClEEAAAQQQQACBEgoQDCghNk0hgAACCCAQFmAeAQQQQAABBBAolwDBgHLJ0y4CCCCAQC0KsM0IIIAAAggggEAsBAgGxGI30AkEEEAAgeoVYMsQQAABBBBAAIH4CRAMiN8+oUcIIIAAApUuQP8RQAABBBBAAIGYCxAMiPkOonsIIIAAApUhQC8RQAABBBBAAIFKEiAYUEl7i74igAACCMRJgL4ggAACCCCAAAIVK0AwoGJ3HR1HAAEEECi9AC0igAACCCCAAALVIUAwoDr2I1uBAAIIIFAsAepFAAEEEEAAAQSqUIBgQBXuVDYJAQQQQKBvAqyNAAIIIIAAAghUu0BRggGPPbrFtr3wSrXbsX0IIIAAAtUjwJYggAACCCCAAAI1JRBpMKCz85jdcfsa27Bhsy1f/lDWgEAy2WE//vFLKWgFD2a1LDWlVaseSeWnz2Qr59vV+krhQITmlaekvqlser16nqtctna1HgkBBBBAoFIF6DcCCCCAAAIIIFC7ApEGA57a9JyNGzfWpk2baNdd32xbn99hGvin865fv8naDhx02RqEb9++01asvNlWr1ni8jT4djOhh1zl1q593LWr9ZfdO982btxsu3e1uqR55WmZ+qayoWrdrMpmK5erXbcyDwgggAAClSNATxFAAAEEEEAAAQScQKTBANXY2DhCE6sbOMBmz77GEol699w/aHD93LPb/VMXMJgy5VKrqxvg8mbMmGx79u639E/wFVjIVG7v3neCwEKHXXb5BW59tdfcPNEUYFC66KLzU32YNPliVyY9QJGrXLZ20/vnKuYBAQQQQCB2AnQIAQQQQAABBBBAoLtApMEADcjXrXvCtm7d0b2lIEeD8Cef/Il9+StfDJ5ZasDfNGaUe66HgUEQQdOjR49p4pIfeGcqt29fmzU2Dk8N+LVCIjHEXZGg9nQ1gPKUFHBQkKI9eUhPUylbubffOuDKZGo33D9XiAcEEEAAgbgI0A8EEEAAAQQQQACBHgQiDQboU/m777nRGkePyHjPAH09QJ/uD0u7WiDcx2wD9nAZzftyhw8d0dMuqSEIBnQGwYT3jx/vkq8niaDtZFowQPnpSeXa2w+nZ7srGDIFFLoVJAMBBBBAoIQCNIUAAggggAACCCBQiECkwQDf8KiRw23evGvdVwD89//19QAtH3/heZpkTboKQAP5hmBAn7VQsMCXGzxkUPCs63998q8B+8n9+3ddEDxLJjtMVw4Eszn/q1xDw+BuZXy7PfWv24qhjIPtZm+83o+EAccAx0CvjoHQy0ksZ0v2+haz4yeWOyPUqVrdL6Xa7hB1LGdL5RC3dmK5M0KdipsX/eH9OcdAZR0DGleGXlIKni1KMMD3Qt//P3rsPXfJvr4+oHsF6K7++qUB/eKAv5nf7l17/CrmL7/3XxfQAl0FoGmmciNGDLPW1v2uDZVRSgaf/CcS9cGgv97dO0B5StkG8iqr+waojJIvd/oZp+qpZWo33D9XqICHoQ1mZ539AQkDjgGOgV4dAwW83JSlaDFf3+Jcd1mwC2g0znbV0LcCdkVZilaDcW+2oSzYBTTam21iHd5DcwxwDPhjYGgwrizgJadb0ciCAcngE/dbFz8QDJxbU4088/SL1tZ20D3/i9tucL8WoLv666oB/eKAbjB45eRLbMuWban7B+irBLqyQAEA1amfA9Q0W7mRI09zvySgttSQyuqXAXSvAN3DQIN85WmZfu1AUw3+NfUpV7ls7ap/fn2mCCCAAAJFE6BiBBBAAAEEEEAAgSIInBRVnRpgz1/wFVu58mHTp/769F8D8Zkzp7pP6LMNnpvGNNrYsaNt7pw7TVcNqD9XXT1BkyCwsMcN9FV3rnL6lQC1pfUXLrjPmpsnmsprPd2jQHlapjLqjyrXzwnOm3uX6esLucqpnmz9Uz0kBBBAAIGoBagPAQQQQAABBBBAoNgCkQUD1FENqnUDQX3qr0//b1nU4m64p2XhpPsG+AG/8jWvKwaUdLWA8pR27noz9ZOBep6tnAINakvrK6l+lVfSvPKUVEZlla9B/vIVN5mW67mmKqMULqdl2drVMhICCCCAQAQCVIEAAggggAACCCBQUoFIgwFR93z69EnuqoKo66U+BBBAAIHyC9ADBBBAAAEEEEAAgfIJFCUYoE/S9Ul7+TaLlhFAAAEEYihAlxBAAAEEEEAAAQRiIlCUYEBMto1uIIAAAgiUXYAOIIAAAggggAACCMRRgGBAHPcKfUIAAQQqWYDB0t/3AAAQAElEQVS+I4AAAggggAACCMRegGBA7HcRHUQAAQTiL0APEUAAAQQQQAABBCpLgGBAZe0veosAAgjERYB+IIAAAggggAACCFSwAMGACt55dB0BBBAorQCtIYAAAggggAACCFSLAMGAatmTbAcCCCBQDAHqRAABBBBAAAEEEKhKAYIBVblb2SgEEECg9wKsiQACCCCAAAIIIFD9AgQDqn8fs4UIIIBATwIsRwABBBBAAAEEEKgxAYIBNbbD2VwEEEDgQwEeEUAAAQQQQAABBGpZgGBALe99th0BBGpLgK1FAAEEEEAAAQQQQOCEAMGAExBMEEAAgWoUYJsQQAABBBBAAAEEEMgkQDAgkwp5CCCAQOUK0HMEEEAAAQQQQAABBHoUIBjQIxEFEEAAgbgL0D8EEEAAAQQQQAABBAoTIBhQmBelEUAAgXgI0AsEEEAAAQQQQAABBPogQDCgD3isigACCJRSgLYQQAABBBBAAAEEEIhKgGBAVJLUgwACCEQvQI0IIIAAAggggAACCBRFgGBAUVipFAEEEOitAOshgAACCCCAAAIIIFB8gaIEAx57dItte+GV4veeFhBAAIFqEGAbEEAAAQQQQAABBBAosUCkwYDOzmN2x+1rbMOGzbZ8+UNdAgLJZId98xv326yWpTZv7l22e1dralMVPFC+0qpVj6Ty02eylfPtan2lcCBC88pTUt9UNr1ePc9VLlu7Wo+EAAII9EaAdRBAAAEEEEAAAQQQKKdApMGApzY9Z+PGjbVp0ybaddc329bnd5iCABqAf/cfH7c5c6bb6jVLbOHCP7Q1ax51yzQI3759p61YebNbJgwNvjUNp1zl1q593LWrupfdO982btzsgg0KOGheeVqmvqlsuF7N5yqXq12tS0IAAQTyFKAYAggggAACCCCAAAKxEYg0GKCtamwcoYnVDRxgs2dfY4lEvdXVDbAb53/ZmsY0umWannPOmdaePOQCBlOmXOrKaOGMGZNtz979pgCCnvukwEKmcnv3vmNtBzrssssvcEXVXnPzRFOAQemii853fdDCSZMv1sQFIdzMiYdc5bK1m96/E1UxQQABBEICzCKAAAIIIIAAAgggEE+BSIMBGpCvW/eEbd26I+fW6pP4V1/9pQ0MggQq2DRmlCYuDQyCCJo5evSYJi75gXemcvv2tVlj4/DUgF8rJBJD3IBfVyXoagDlKSkooSCFghB67lO2cm+/dcAVydRuuH+uEA8IIICABEgIIIAAAggggAACCFSAQKTBAH0qf/c9N1rj6BHd7hkgCw3q9b392277tunT+4aGIcrukrIN2LsUCp74cocPHQmedf3fEAQDOoNgwvvHj3ddEDxLJOqDQMGhYC73f5Vrbz/crZBvNz2g0K0gGQggUDMCbCgCCCCAAAIIIIAAApUmEGkwwG/8qJHDbd68a91XAMLf/9dA+pZFLe7+AE8++RN76cWf+1VSUwUMNJBvCAb0qcwMM77c4CGDui3VQF1XAJzcv3+3ZboKQFcOdFuQlqFyDQ2D03LNfX0hn/51WzGUcbDd7I3X+5Ew4Bio3GOgrPsu9HISy9lafX2L5c4IdapW90uptjtEHcvZUjnErZ1Y7oxQp+LmRX94f84xUFnHgMaVoZeUgmeLEgzwvdD3/48ee8/dzG/tdx/32e7+AL//+1fa4Xc7Xd7uXXvcVA/+8nv/dQHlKYigaaZyI0YMs9bW/cGn/R0q4lIyech9bSCRqHf3DnCZwYMPIDSkBRoSWcqdfsapwVoW9D93/1yhAh6GNpiddfYHJAw4BirqGIjPOVvAy01Zitbq61tZsAtotFb3S6m2u4BdUZaipXKIWztlwS6g0bh50Z/4/K1nX7Av8jkGhgbjygJecroVjSwYkEx22K2LHwgGzh/9ZOAzT79obW0H7YyRp7kBu+7Mrx5oUP7ggz+yYcEg/MrJl9iWLdvcJ+5atn79JtOVBQoAqE59rUDTbOVGBnXrvgBqS+urrH5BQHm6h4FuDqg8LdOvHWiqwb+mPuUql61d9c+vzxQBBKpUgM1CAAEEEEAAAQQQQKBKBSILBmiAPX/BV2zlyodtw4bN7p4BGojPnDnVXQnw9RuuMd1ccFbLUps75073U4DjLzzP/cLA2LGjXZ6WWfDvqqsnBI8ffiKvQb3qbhrTaNnK6VcC1JbWX7jgPnc/ApXXevoFAuVpmcqoP6pcNzGcN/cuU4AiVznVk61d1UNCAIHqEmBrEEAAAQQQQAABBBCoBYHIggHC0qBaNxCcNm2iu2eA7g/gP0H3y1avWWJKfsCv9TSvPCX9HKHylHbuejP1k4F6nq2c2lBbWl9JQQaVV9K88pRURmWVr0H+8hU3mZbruaYqoxQup2XZ2tUyEgIIVLwAG4AAAggggAACCCCAQM0JRBoMiFpv+vRJ7rv/UddLfQggUOsCbD8CCCCAAAIIIIAAArUtUJRggD5J1yfttU3L1iOAQKwE6AwCCCCAAAIIIIAAAgikBIoSDEjVzgwCCCBQRgGaRgABBBBAAAEEEEAAgcwCBAMyu5CLAAKVKUCvEUAAAQQQQAABBBBAIA8BggF5IFEEAQTiLEDfEEAAAQQQQAABBBBAoFABggGFilEeAQTKL0APEEAAAQQQQAABBBBAoE8CBAP6xMfKCCBQKgHaQQABBBBAAAEEEEAAgegECAZEZ0lNCCAQrQC1IYAAAggggAACCCCAQJEECAYUCZZqEUCgNwKsgwACCCCAAAIIIIAAAqUQIBhQCmXaQACB7AIsQQABBBBAAAEEEEAAgZILEAwoOTkNIoAAAggggAACCCCAAAIIIFBeAYIB5fWndQRqRYDtRAABBBBAAAEEEEAAgRgJEAyI0c6gKwhUlwBbgwACCCCAAAIIIIAAAnEVIBgQ1z1DvxCoRAH6jAACCCCAAAIIIIAAAhUhQDCgInYTnUQgvgL0DAEEEEAAAQQQQAABBCpPgGBA5e0zeoxAuQVoHwEEEEAAAQQQQAABBCpcgGBAhe9Auo9AaQRoBQEEEEAAAQQQQAABBKpJgGBANe1NtgWBKAWoCwEEEEAAAQQQQAABBKpWgGBA1e5aNgyBwgVYAwEEEEAAAQQQQAABBGpDoCjBgMce3WLbXnilNgTZSgQqW4DeI4AAAggggAACCCCAQA0KRBoM6Ow8ZnfcvsY2bNhsy5c/1CUg4JfNallqSgoYeG/NK09p1apHfHa3abZy6XWHAxGaV71K6pvKdqs4yMhVLlu7wWr8R6ACBegyAggggAACCCCAAAII1LpApMGApzY9Z+PGjbVp0ybaddc329bnd1gy2eGM16593C1bvWaJrVh5s+3c+abt3tXqAgbbt+90eVqmwhp8axpOGqxnKxeue9m9823jxs2ubtWveeWpbvVNZcP1aj5XuVztal0SAhUhQCcRQAABBBBAAAEEEEAAgZBApMEA1dvYOEITqxs4wGbPvsYSifpUQGDS5Is/XFY3wCZMGG8a3CtgMGXKpVYX5GnhjBmTbc/e/Zb+CX62cnv3vmNtBzrssssv0Oquvebmia5u1X/RRee7PC307fsAhfKUcpXL1m56/1QPCYE4CdAXBBBAAAEEEEAAAQQQQCCbQKTBAA3I1617wrZu3dGlPQUEFBjwA34tbG3dZ8OHJzRrTWNGuakeBgZBBE2PHj2miUt+4J2p3L59bdbYODw14NcKicQQF4DQoF9XAyhPSe0rSNGePKSnqZSt3NtvHXBlMrUb7p8rxAMC5RegBwgggAACCCCAAAIIIIBAXgKRBgM06L/7nhutcfSIbvcMCPdGl+VrAP7ZC34jnO3msw3Y3cLQgy93+NCRUO6Hsw1BMKAzCCa8f/z4hxmhx4S7UqFrMCC0ODWrcu3th1PP/YxvNz2g4JczRaC0ArSGAAIIIIAAAggggAACCBQuEGkwwDc/auRwmzfvWnfPgPTv/ysQ8MMf/rtNnzHZF+8y1VUAGsg3BAP6LgvSnvhyg4cMSltipoG6rgA4uX//bssUhNCVA90WpGWoXEPD4LRcc19fyKd/3VYMZRxsN3vj9X4kDHp3DOBW826hl5NYztbq61ssd0aoU7W6X0q13SHqWM6WyiFu7cRyZ4Q6FTcv+sP7c46ByjoGNK4MvaQUPFuUYIDvhb7/f/TYe/6pu3T/wQd/ZF/92lR3jwB9yq6Fu3ft0cQlf/m9/7qAMnOVGzFimLW27nd1q6xSMnnIfW0gkah39w5QnpIPIDSkBRoSWcqdfsapWs166p8rVMDD0Aazs87+gIRB3scAxwvnS/gYKODlpixFw32tpfmyYBfQaC3ti3JsawG7oixFy2EShzbLgl1Ao3Ewog+8x+AYqNxjYGgwrizgJadb0ciCAclkh926+IFg4NyaauSZp1+0traD7rmW/90Dj9jXb/jwpoIuM3i4cvIltmXLNveJe/DU1q/fZLqyQAEAraOfA9Q0W7mRI09zv1KgtrS+yuoXBHSvAN3DQDcHVJ6W6dcONNXgX1OfcpXL1q7659dnikARBKgSAQQQQAABBBBAAAEEECiawElR1awB9vwFX7GVKx+2DRs2u3sGaCA+c+ZUFyBY/GcP2C9+8YYtXHCfzWpZ6tKqVY9Y05hGGzt2tM2dc6fLU3+uunqCJsF6e9xAX3XnKqdfCVBbqlf1NzdPdPVqPf1SgfK0TGXUH1WuryvMm3uX+2nDXOVytat6SAhEJ0BNCCCAAAIIIIAAAggggEBpBCILBqi7GlTrBoLTpk003TPglkUt7usAGlAvX3GTrV6zpEvSLwxoPQ3+/TKfp/ydu95M/WSgnmcrp0/p1ZavY/yF56m4S5r3+Sqjslrg+6Tleq5ppnJalq1dLSMh0CcBVkYAAQQQQAABBBBAAAEEyiAQaTAg6v5Pnz7Jffc/6nqpD4FyCtA2AggggAACCCCAAAIIIFBugaIEA/RJuj5pL/fG0T4CMRGgGwgggAACCCCAAAIIIIBArASKEgyI1RbSGQTKIkCjCCCAAAIIIIAAAggggEB8BQgGxHff0LNKE6C/CCCAAAIIIIAAAggggECFCBAMqJAdRTfjKUCvEEAAAQQQQAABBBBAAIFKFCAYUIl7jT6XU4C2EUAAAQQQQAABBBBAAIGKFyAYUPG7kA0ovgAtIIAAAggggAACCCCAAALVJUAwoLr2J1sTlQD1IIAAAggggAACCCCAAAJVLEAwoIp3LptWmAClEUAAAQQQQAABBBBAAIFaESAYUCt7mu3MJEAeAggggAACCCCAAAIIIFCTAgQDanK31/JGs+0IIIAAAggggAACCCCAAAIEAzgGql+ALUQAAQQQQAABBBBAAAEEEOgiQDCgCwdPqkWA7UAAAQQQQAABBBBAAAEEEMguQDAguw1LKkuA3iKAAAIIIIAAAggggAACCOQpQDAgTyiKxVGAPiGAAAIIIIAAAggggAACCPRGgGBAb9RYp3wCtIwAAggggAACCCCAAAIILacpEAAAEABJREFUINBnAYIBfSakgmILUD8CCCCAAAIIIIAAAggggEC0AgQDovWktmgEqAUBBBBAAAEEEEAAAQQQQKCIAgQDiohL1YUIUBYBBBBAAAEEEEAAAQQQQKBUAkUJBjz26Bbb9sIrpdoG2qlUAfqNAAIIIIAAAggggAACCCBQFoFIgwGdncfsjtvX2IYNm2358oe6BQRWrXrE5s29y3bvau2ysQoezGpZakoq02Vh6Em2cr5dra8UDkRoXnlK6pvKhqpMzeYql63d1MrM5C1AQQQQQAABBBBAAAEEEEAAgfILRBoMeGrTczZu3FibNm2iXXd9s219foclkx1uKzUInzFjsn3uc+e75/5Bg/Dt23faipU32+o1S1y2Bt9uJvSQq9zatY+7drX+snvn28aNm13AQUEHzStPy9Q3lQ1V62ZzlcvVrluZh54EWI4AAggggAACCCCAAAIIIBAzgUiDAdq2xsYRmljdwAE2e/Y1lkjUf/i8bkBq3mWceFDAYMqUS60uWK4sBQz27N1vCh7ouU/Zyu3d+461Heiwyy6/wBVVe83NE00BBqWLLjo/1e6kyRe7Mj5A4Z4ED7nKZWs3vX9BNfxPCTCDAAIIIIAAAggggAACCCAQZ4FIgwEakK9b94Rt3bojr232A+qmMaNS5QcGQQQ9OXr0mCYu5Sq3b1+bNTYOTw34tUIiMcRdkaBBv64GUJ6SAg4KUrQnD+lpKmUr9/ZbB1yZnvrnCtX6A9uPAAIIIIAAAggggAACCCBQMQKRBgP0qfzd99xojaNHZLxnQD4q2Qbs6ev6cocPHUlfZA1BMKAzCCa8f/x4t2WJRH0QKOgaDOhWKMhQufb2w8Fc1/++3fSAQtdStfGMrUQAAQQQQAABBBBAAAEEEKhMgUiDAZ5g1MjhNm/ete6eAZm+/+/LZZrqKgAN5BuCAX2m5T7Plxs8ZJDPSk01UNcVACf375/K8zO6CkBXDvjn2aYq19AwuNti325P/eu2YijjYLvZG6/3q8REn9lvHAMxOAZCLyexnK3V17dY7oxQp2p1v5Rqu0PUsZwtlUPc2onlzgh1Km5e9If35xwDlXUMaFwZekkpeLYowQDfC33//+ix9/zTblN9yq7M3bv2aOKS/3qA/7qAMnOVGzFimLW27g8+7f/wRoUqn0wecl8bSCTq3b0DlKeUbSCfrdzpZ5yq1ayn/rlCBTwMbTA76+wPKiTRT/YVx0DcjoECXm7KUjRuXqXqT1mwC2i0VA612k4Bu6IsRdkvZWHvsdFa3S9sN++tOAaiOQaGBuPKHl9ochSILBiQTHbYrYsfCAbOH/1s4DNPv2htbQdzNG925eRLbMuWbakbBq5fv8l0ZYECAKpTPweoabZyI0ee5n5JQG2pIZXVLwjoXgG6h4FuDqg8LdOvHWiqwb+mPuUql61d9c+vX3VTNggBBBBAAAEEEEAAAQQQQKCqBU6Kaus0wJ6/4Cu2cuXDtmHDZnfPAA3EZ86cmrOJpjGNNnbsaJs7506b1bLUlb3q6gluqk/kNahX3bnK6VcC1JbWX7jgPmtunmgqr/X0SwXK0zKV8f3RzwnOm3uX6acDc5VTPdn65zpZJQ9sBgIIIIAAAggggAACCCCAQO0IRBYMEJkG1bqB4LRpE909A25Z1JL6yUAtV5r51aluoK55nzT4X71miSnp5wh9/s5db6Z+MlB52crpU3q1pfWVxl94noq7pHnlKamMymqBBvnLV9xkWq7nmqqMUriclmVrV8sqONF1BBBAAAEEEEAAAQQQQACBGhWINBgQteH06ZPcd/+jrrd262PLEUAAAQQQQAABBBBAAAEEEDArSjBAn6Trk3aAYyBAFxBAAAEEEEAAAQQQQAABBBBIEyhKMCCtDZ6WWIDmEEAAAQQQQAABBBBAAAEEEMglQDAgl07lLKOnCCCAAAIIIIBAJAJjFk61OKdINpJKEEAAAQSK8zUBXEshQBsIIIAAAggggAACCCCAAAII9E6AKwN651aetWgVAQQQQAABBBBAAAEEakogzlfq+L7V1A6poo0lGBDznUn3EEAAAQQQQAABBBBAAAEEEIhagGBA1KJ9ry92NXTc8mWLc4odGB1CAAEEEEAAAQQQQAABBGIuQDAgFjuITiCAAAIIIIAAAggggAACCCBQOgGCAaWz7toSzxBAAAEEYn3Hcn0Pkl2EAAIIIIAAAghUqwDBgBLuWZpCAAEEEEAAAQQQQACB0gjE+Wuu6ltpFGgFgewCBAOy20SxhDoQQAABBBBAAAEEEEAAAQQQiJ0AwYDIdwkVIoAAAggggAACCCCAAAIIIBBvAYIBUewf6kAAAQQQQAABBBBAAAEEEECgggQIBvRyZ7EaAggggAACCCCAAAIIIIAAApUqQDAg/z1HSQQQQAABBBBAAAEEEEAAAQSqQoBgQM7dyMJqE9BPhcU5VZs324MAAggggAACCCCAAALxFCAYkL5feI5ABQic8f3jFvdUAYx0EQEEEEAAAQQQQACBmhUgGGBmNbv32XAEEEAAAQQQQAABBBBAAIGaFKjVYIDb2clkh61a9Yh1dh5zz3lAAAEEEEAAAQQQQAABBBBAoBYEaigY0HV3bnvhFVu44D577tntdv993ycg0JWHZwgggAACCCCAAAIIIIAAAlUsUN3BgCw7TlcEPPnkT2zx4uvt4kvG2YQrxttTm57LUppsBBBAAAEEEEAAAQQQQAABBKpLoOqCAfnunmGn1tvAugGu+Pjx59lVV09w8zwggAACCCCAAAIIIIAAAgggUO0C1RAMKHgfJRL1NmrkcLt32fes88ixgtdnBQQQQAABBBBAAAEEEEAAAQQqWaBCgwF9J9eVAHPmTLdXX/0l9wzoOyc1IIAAAggggAACCCCAAAIIVJBA5QQDioDakBhin/7MOfal5ivsjttX29697wTTNTarZalLuslgEZq1g+1mb7zer2JS+9fXWZxTIZb/60//xeKc8t2W//jtky3uKd9toVzhrwVxPh/Vt0L2aZzPR/WtkG3hnCz8WC7EN+5ldezHORXip2M/zqmQbeG85LyshvMyzuej71sh5yVlozsvNa7sy3g11sGAvmxYIes2NTXahCsutKOdx+yWRS22es0Sl8ZfeF4h1eRddmiD2Vlnf0DCgGOAY4BjgGOAY4BjgGOAY4BjgGOgZo6Bz/34fYtzqrQx2tBgXJn3IDRDwbgFAzJ0Mfqsxx7dYqtWPZKquL39kG359xdSz5lBAAEEEEAAAQQQQAABBBBAoJoFYhAMKD2v7hegGwguXHCfPffsdvvWohXW3DzRmsY0lr4ztIgAAggggAACCCCAAAIIIIBAiQXKEwwo8UZmak4BgWX3zreLLxlnK1bebMX6SkCmtslDAAEEEEAAAQQQQAABBBBAoJwCJQsGlHMjaRsBBBBAAAEEEEAAAQQQQKC8Am99ub/FOZVXp/StFzMYUPqtKbDFRKLeZs++xurqBhS4JsURQAABBBBAAAEEEEAAAQQQqFyBiIMBlQtBzxFAAAEEEEAAAQQQQAABBBCoFYG+BwNqRYrtRAABBBBAAAEEEEAAAQQQQKBKBHoVDKiSbWczEEAAAQQQQAABBBBAAAEEEKhJgXyDATWJw0YjgAACCCCAAAIIIIAAAgggUI0COYIB1bi5bFMlCDz26Ba74/Y11tl5rFt3d+9qtW9+437TtNvCDBmqY9WqRyyZ7MiwNHeW+qG28llXZbe98EruCkNL1S9t46yWpeaT+hkqUvCs+qk6VHfBK7MCAhEIrP3u43mfm765Uhy3Oic437w401oU0N/MeXPvSv290fxLL/7c/T3V368oTXo6pzkfo9SmrrgI6Dzy7+c01fuxYvRN57L+1haj7mx19tSmznm9X9Z2+ySPbPXlk6/31H2tI592KGPWNRiACAIxEWht3Wdv7X2nW2+2b9+ZMUjQrWAEGVddPcHuvudG069ORFBdqgq9qOpFc8qUS231miWpdNFvne/emOlFNVWYGQQQ6JMA51uf+Fi5igQ+97nzU39vlq+4yT57wW+4v3H6W1eqzeR8LJU07ZRKwAe39uzdnzq/9N5u1MjhNfGeToP2xX/2gM2ZM73L9stfQXj5aJ4UX4GT4ts1elarAnpBbWwcYc+/8LMuBBok79z5pg0bVh980n+oy7JKeaIXxR/+8N9t4cI/tPEXntel23pejOBDl0Z4gkANCXC+1dDOZlNjL8D5GPtdRAd7IfDUpuds3Lix7qfKw6sryPYHf/AFW79+Uzi7qub1vvzJJ39it/3lDdY0prHLtmn7b1nUws+3d1GJz5NwT7gyIKzBfGwE9MKqzuiFRlOl3bv22EXBJxt1dQP1NJV0KZa/LEmfuD/11H+YLi3SurcufsCee3a7KWqpTyS0kpb58poqqql8lVddeuFWPS+99HMLX4qlZSqvpOW+Ha3rk+rQMpVROz7fT3W1g4IZ6S+afnl4qv7qUk7VpaT2/XLVrTy1pTZVVtuobdU2K0/lVYbIrFdjWi4BHY86VnU8KunY1Lml49b3adu2V7pcwhxepjJaR+sq6bzwy1W3lvnzVs9VXimq801tqU21rdcLPU8/39LPSbVPQiDuAv481PGr80j91aBdfzd0rOu5jnd//Osc8OW0TEnrKl9J5fS3WvnpqZTno/qo/mg7tD3pfeE5AlEI6NjSB1iXXX5Bxuo++akml6+/Szom/TnlMoOHcF74PNKx68v6df3fuI5D7wZrmnufq3JKvqxbEDyoXuUrfXhOtga5H/5XfT39PQ6vr7LJ5KEPV0571Lmu9+v5XEGbbftUpW/Pn68qu3z5Q7Zhw2bTsmSyw11loe3RMq1DKlgg6woEA7LSsKDcAmPHjLZnnn7RdUMvuFuf32GfCl5Yh51a7/L0oBcJTXVJlpIuU9oYvHgoTy9Of3HbDXbxJeNSUUv/IqKyPqle/0L66i9+aVv/Y4ct+tYsqx9yiqpxKVc7rsCJB70wTpgw3l0qpRcvvYk6schNksELqvrlnuR40HorVz7sriDw/VRx9UMW+uOz7N757rIsbZOCC4rMalu1zSqrtGLlzaavIyhyreckBEotkAz+iN/+V6tNn5D4Y1mXT/5HcJ75vui82779VXfeqIyO5TVrHk3df0DHvcpqmZKurNH5ofNE+Vrfn7fh8ysZwfmm+rdv32mzZn3JdD7p9aIhMcS9pvjzbeDAAZZ+Tmo9EgJxEtA5pzfTSukDBH2Kp/NSf0/Wrn3c/d3Q1Wo6x3Q1m65a07mnpK+0+XNS5XV+6NzQMpXTJ4VtB7rfp6dU56M3V5/4++c1mBZD4OjRD+9tpb8BmeqvqxtgdcHfh/bgb9GVky+xLVu2pb7qqnOr88gxU8BA55HW1znkk/7WZHtvqnPZl9d7QZ1zyeBvrfJ0buoc9fXonNQ5rPZUpqe/x1pf9fj19X543bonrPPEtmqZT/pKr67k9c+zTbV94dcJ9Vl1apvjMFMAABAASURBVPvUJ60XPl/1ejRv3rU2bdpEd8VFT++ttT4pk0B+eQQD8nOiVIkENNDVmwi9uDSNGeXeYCtPnyjoBTWRqDe9YdELkH8BmTlzaqp3TWMa3Zv2VEZoRvXoxUiRRr0Z8kmfputFV0WHDRvqAgFqR8+VCmmnKeizXuz1Ajfzq1O7XTaVCAYRvj7VnS2pnxo8NQXb48v47dQfHxn83QOP2BkjTzO148v4qe+/3tTpDZ1eWP0ypgiUUsD/Eddx6NvV8ajvL/vn55x7pvnjW3k6fpubJ5rOA3++hJfrvND5oeUqn+m8VX4U55va1ycfeuOi16HZs6/pdh8RveHr6ZxUf0gIlFNA55x/g697Bug8Cvdn0uSL3TmnPH++6hz7z//8hc2dc2fqyh19YqcA3N6977i/0V+/4RrTOaD1NP39378y9Vx5PpXqfNTrh9rk758USMUU8EEAvS/L1I7ed2oQ3RC899P5VjdogP3s5d2u6I82PWv68EhPdJ4V8t70nHPONJ2vWjcRvC9ubBxuCjjo75XOTZ2j/j2uzl2dw2qjp7/HWl91hv/eqn79vVV+etJ7db0fT88PP5eBguXh1wnVqQ/vtgcfAmhe5XOdr009vLfW+qQTAr2YEAzoBRqrFFdAbyb0pkEvEHqDrRdOvWiOG3dOnxvWVQWKSPo3RH6qN/iqXMv9i7ueF5rUZ0VhFVzwlzuF69Dgva2tI/WJZ3hZIfMaTOkNly7fUuAh07raJkWH0z8BylSWPATiKKA3EPn0K9t5G9X51hQE5XTFzYMP/shdspipT/mck5nWIw+BuAgo2NXZedRa39xnflCgvukTOv+30k/1d66hYYgW551KeT7y9y/v3ULBPgjo/arep/qrWNOr0vtX5em9oab+6oCXX95l/qoA5etvWCHvTYcNq88YcFNdCq7rU3Z/rvqp/kZpeZSpKRikb9++s8vrRW/q7+l8lZ9ec7K9t+5Nm9W0Tl+3hWBAXwVZv6gC+kROn7S3HegIPmUf5dpSJFKDBL04KEPRRE2VdBnU6tU/1Gy35F+09b0rv7Cz85j7GcNsA2qVK6Qd//1LRVXVnt5cqQ6flPelL11hy5Z9z9Lb1HMN7vUmTNutTyK1PX5df6m/or9qpykYoOjSZb04+jJ+qrp0WZY+3dFlknqx9suYIlBKgabgzYLOYR2Tvl0dm/4yR+Xpkwx/fOu5zoGNGzeb3jhlOv/8cp0nKp8tRXG+KTioyyb1yY8+2dBrkdoPt6nztKdzMlyeeQTiJqC/hbqUuKXlatNVOf7vpM4xnYvhY17nr84JnV8aCOkqNa2vbdJUQTNN9TycVL6vf//yOR/1WqM+8vcvrM98sQT0Cb3eY+mcCLehY1Dv42bMmJzKbgret+nqgHvu/id3VYDOCSWdR/6cU2GdP/pASceynueb/N/L9L+nupeU/k419fD32K8ffl+tc1/bkakPKq/3mLqHjuoPl9H2axuUp+3L9DqhD/m0jSqb63zV31fVn+29tdqosRTp5hIMiJSTyvoqoDfcehFsSHz4iYM+SdBzvSFJJD66V4BvR9FEzfvLofQ94uZpE5WVMSkyqhclX16XT+mFTC9CGVc4kZlvO6pffVC9esFvCl74T1SRmihP34nWi6vvh6Ya1Cvyqe1UGV1CpaCBlikpAKJ+aJnKKE+BDw2YUpWfmNH2qLzKaCB2WZab25wozgSBSAR0OeRtt307dTmx3hzpWPXfOdTxqKRjU5cs+0b1SYbW1TIlvbHQoETHusrouNdUy5TSl2tZtqQ6+nK+6Y2azjG1uXDBfe6u0dqmcHtqQ3nqW7ZzMlyeeQTiJHDs2Ht2/33fd4MTHcv6+6G/kzp/9Vznoo5/Hd9KOn/9Oam/efr7rL95WqapbvSrTzozbaPqK/b5qP6rj+oPf/8y7QXyohTQ3wjdNV/njI45n3QM+vd04fb09+QznznX3SvA5+s8Cq+v8yif96Z+/fBU56ba9v3QuatzWOee/k719PdY66u+8PpTvvB501d1lZ+edL7pPj7h96taV+XkIh9tX/rrhN8+re/7m+181fo9vbdWe9Wdird1BAOKZ0vNvRDQC5VePDTV6noR0XO9EOi5kl44/IuVnmveXwalF95Jkz5nvrzW13Jfn8prmS+vqepTvsqorNbRc71whr+Pr2Uqr5TejupUPapDy1RG5VVPphQup7JK6eXVvr7XqWVK4eVqT3larnJqQ3WqjO+/5lVG/dEylSEhUEwBf8zpuFPSc7Wn40/HofKUlK9zS8eulum5Pj3RMqXwca31lVRGy5TCy/36/rhX2fSkMuH2VYfqC5dTX1SvlimFl4eX6dzTeqpTZXy7ytd6qkPlVYaEQFwEdEzqnEvvj/LO+2ST6e+s/ob55TqedXzrudbVca3jW8nna5mSyirfJ/0NVhl/bqhMOOncKfb5qPbVH7Wj9sLtM49AMQTSzwMdg5na0fl04/wvW/r5kb6+Px91/KouX17r67wN163nyvd5Kq/jX0nnbniZ6tN5oWVKKtvT+jqnVcbXnz5V/WpH9fmk7QmX03O/TFO/fSqjPihP/VL/lKflWkfzytMylVFZ5dVEKtFGEgwoETTNIIAAAggggAACCCCAAAIIIJBJoBx5BAPKoU6bCCCAAAIIIIAAAggggAACtSxQ9m0nGFD2XUAHEEAAAQQQQAABBBBAAAEEql8gXlvYp2CA7jCpG8zoBm/x2ix6gwACCCCAAAIIIIAAAggggECZBWLcfK+DAfopCN1Z+blnt7u70KYHBPQzEUradgUN9JNp+omJTOV010klBRZUPlNSXSqjFC7n61b+vLl3mX56wq+vPipfKVPbPZVTX7We1ldSfX4d9Sf83OczRQABBBBAAAEEEEAAAQQQqF2BStnyXgUDNAB/8smf2OLF19vFl4yzCVeMt6c2PZfaZg2i9TMR4Z8zW7DwDy39p2Y0mN6+faetWHmz6Q6RqkCDbE3DKVs5tfN3Dzxif/AHX3Dr66ct1qx51NQ/BQU2btxsy+6d75bpJy3Wrn08XK2bz1VO5bWe+qZ6VJ/Ka0Xlb9/+qmZJCCCAAAIIIIAAAggggAACtStQkVveq2CAtlQD+4F1AzRr48efl/opN2UcPXpMExs48MPl+kmIgQM/7vLCD1uf32FTplya+nkN/bSUggga5OdT7vXX9rp1P/mpJldcP21x0UXn2+5de2x7EGTQvNrWwkmTL9bEBQrczImHbOVee22PtR3oMB/QUD3NzRNdvVq1ITHEOoPtTO+rlpEQQAABBBBAAAEEEEAAAQSqWaDyt61XwYBEot5GjRxu9y77nnUe+XDgH6ZoTx6ysWPPdAP1cH543g+im8aMSmUPPBE88MEELchVbt/+tqCd0V3aaWwcYa2t+9ygX5/eqw6luiBwURfUr77puU+6iiBTudY391lj43DTtvqyiSAAoPJ6nqmvyichgAACCCCAAAIIIIAAAghUoUCVbVKvggEyuOrqCTZnznR79dVfdrtnQDIIBnQeOapiBaVsA/b0Sny5dw93pi8KBu9DXCCg24IgQwN79S2Yzflf5To6jnQr0xAEA/zVAOrDsGFDu5UhAwEEEEAAAQQQQAABBBBAoDoEqnkreh0MEIoGx5/+zDn2peYr7I7bV3cZhOsTepUpJOkqAA22VW+u9Xy5UwbXdSumwX4iUd8tXxnJZIcLFmg+V1K5+vpB3YroqgJdXaBAQLeFBWQcbDd74/V+JAw4BjgGOAY4BjgGOAY4BjgGOAY4BjgG4nUMVMz+0LiygGFot6J9Cgb42pqaGm3CFReaBss+r6epH1Dr+/2+rP96gL8EX/m5yo0YPsx27nzTFBxQWSV9RUCBCAUEdD8A5SmpTKZAQ7ZyjaP1dYP9XQIcyeShIJjwYaBB9bW1HVTVBaehDWZnnf0BCQOOAY4BjgGOAY4BjgGOAY4BjgGOAY6Bsh8DlTk2GxqMKwsejIZW6FUwQHf8D/+8X3v7Idvy7y+EqjX3vf0uGRmeXDn5EtuyZVtqML9+/SZ3LwIFAHTX/vvv+75blq3ceZ/8hNUNGmA/e3m3q13rbN26w3QfAt34T8GAZLLDLfO/dqDBv8s48ZCt3Cc+Mcp0L4Fnnn7RlVQ9+jUB5bmM4EF1hQMXQRb/EUAAAQQQQAABBBBAAAEE4i5A/6xXwQDdL0A3EFy44D577tnt9q1FK6y5eWIwCG90pOEb7bmMLA9NYxrdDQDnzrnTZrUsdaVUt2Y0kJ8wYby7OWCucvoFgnXrnnDrL1v2PWtpudp9eq+Bun6pQH1U3apv5sypqtoUNJg39y7TTxbmKqdfINB6Wl/1hLfxrb3v2NHOY65/rlIeEEAAAQQQQAABBBBAAAEEYitAx7oK9CoYoCo0aF9273y7+JJxtmLlzTb+wvOU7VJD6EZ7LiN4SCTqbfbsa7oNnlXP6jVLTEnLg6LuagBd0u9/MlB5mcopX/Xefc+Nbv3lK25KBSS0TH1SvUq3LGpJta3ggspqea5yukJB62l9JV9e6yRDXxnQcxICCCCAAAIIIIAAAggggECsBOhMDoFeBwNy1Ok+mdeN9vTpea5y2ZZpEK5P/DXNVqac+bpfwNbnd5i+YlDOftA2AggggAACCCCAAAIIIIBAWID5fAX6FAzQp/L6ND/ToH3mV6d2+ZQ+3w5VQjltr7Zb218J/aWPCCCAAAIIIIAAAggggEDVCrBhvRLoUzCgVy2yEgIIIIAAAggggAACCCCAAAJ9EGDVvgsQDOi7ITUggAACCCCAAAIIIIAAAggUV4DaIxYgGBAxKNUhgAACCCCAAAIIIIAAAghEIUAdxRQgGFBMXepGAAEEEEAAAQQQQAABBBDIX4CSJRMgGFAyahpCAAEEEEAAAQQQQAABBBBIF+B5eQQIBpTHnVYRQAABBBBAAAEEEEAAgVoVYLtjIEAwIAY7gS4ggAACCCCAAAIIIIAAAtUtwNbFTYBgQNz2CP1BAAEEEEAAAQQQQAABBKpBgG2ItQDBgFjvHjqHAAIIIIAAAggggAACCFSOAD2tHAGCAZWzr+gpAggggAACCCCAAAIIIBA3AfpToQIEAyp0x9FtBBBAAAEEEEAAAQQQQKA8ArRaDQIEA6phL7INCCCAAAIIIIAAAggggEAxBai76gQIBlTdLmWDEEAAAQQQQAABBBBAAIG+C1BDdQsQDKju/cvWIYAAAggggAACCCCAAAL5ClCuhgQIBtTQzmZTEUAAgd4I7N7VavPm3mWzWpa69M1v3G/JZId1dh6zO25f45Lme1N3Mdbx/X3s0S1Zq/dl/DZpuu2FV7KW72mBPOSyatUjPRUt2XJtf2+2y9to/b50VsdET8eH2lAffZKhLHvbrtZVHeXeD74ffrvkII98tkvHodbTNJ/ylEEAAQT6LkANtSpAMKBW9zzbjQACCBQoMG3aRFux8mYbNmyo/d0Dj9jRo8cKrCEexTUAve3hhyRzAAAJ0ElEQVS2b9usWV+y1WuWuDRv3rW2fPlDsQtsWC//aeC5fftOt/bW53e4aZwe1D8NkLds2WbL7p3v9oH2xTnnnmkLF9xn2kdx6m9v+3LxJePc9rW1HbSnNj3X22pYDwEEEIhegBoRCAQIBgQI/EcAAQRqUaDjli9btpTNo65ugA07td40uDl69L1sxWKbr0+9n3zyJ6bAxvgLz0v1U/MajN6yqMW0jakFMZoZs3CqZUqZuvjW3nestXWfW/Rf//mqabvdk5g8aGCs/s2ZM90SifpUr2bPvsYFBq66ekIqL24zZ3z/uGVK2fo5cOAAUwBNwRkFQbKVIx8BBBAotgD1I5AuQDAgXYTnCCCAAAJZBTSYaTvQ4QY3Awd+vEs5LdOnvbrEOZz0KW+mZfrqgR+k6rLu8DqaD18mrXnl+aTyvvH0uleufNgv6jbVgEyZ48aN1SRrSr/MO9xe+rKVK9e7KyUOHDhozz273X2qnd5fPc/aWBEW/GjTs67WL3/li27qt9s9CR7St8HvC+WvDPyOHDlqGzZstmd/8l/uagntVzlrf6ms9mlQTeqrIn6/+KlfrjLpSfWoP42NI+yMkaelL+7yXP3RZf++3krbD9oYH5jRMecDTToe/Db5qbZT26t1wkmWvoyf+v2RqZ5cRtp32oe+fpX1dWqq+vwypgggUBUCbAQCOQUIBuTkYSECCCCAgBfQ4HDunDvdVQFfv+EaGxh84umXabp27ePu0+jFi693n+7qEmnlh9OgQQNNy3VpuAZGftDqy+hyfX0V4dxzzzJ9gq+BowYouoRfy/TpvdZ99Re/NA1ktF56u+ece6ZpMKtl6WnP3v3uk/+GxJD0RannGpDd/lerTfVkam/9+k2urPqh5XPmzDB5nHrqUNM2X3b5BbZu3RNuXsuVdOWBW6kED+q/fD79mXNs0qTPmaYafMtSzWt5ePvUP5V58MEfuX2qT+u1n3T1xGcv+A2tkjWl22v7sxY+sUBfL9GVJbrCRMfAiexuk/R+ylvb5fd73PeDNkjBIX0lRfMKBmiqwfjq1T9MHR86H+StZelJx77OO+0L7SedA+ll9FzuWq5y/kqQdD8t9/tZx4Ic5SlXLVPdOs/UpuokIYBApQrQbwTyFyAYkL8VJRFAAIGaFtBAQ4OGu++5scul3UJpbz9kGlhosNE0plFZduXkSyx9kOM/DVYgQZdO6yoDDUy0ggbTTWNGucG6BooaMGrg6L/zroGKPr3Ud8r1Kbzae+21PXm1q/qVRo0c7j7Nbk8e0tOM6ZmnX3Rl1H8VSCTqbcKE8eYHWapD7asfGlCpTDj5bdNAUP0t9eBq9649pv5d9Fvnu25p+otfvGE/e3m3e56+fcrU5fmFfkVCg03tg572ueoPJ+8T3vfh5X4+vZ+Vth+0HX6QLqNly77nvq6hwIyW+eOrKThftFx56UnHvs4LBZi07JOfarJzg0CZ5sNJ+1jPdX4pEJYMju90Py33+1nnlfadjhMdxzpOdX6pjNrUlIQAAhUkQFcR6KUAwYBewrEaAggggEDpBDQg8p9gKiChpKDE0KGDC+qE/3TWD8gKWvlEYX2fXZ+i6qkG/OkBAX3arYG1BoIqo0FWqQICCqzoigrfbhwHefLRftA9A3QJvframxTn/ZC+PRqs+0F6+rJyPtcxqnMpnBQwKGefaBsBBPIToBQCUQgQDIhCkToQQACBGhdoaBjiLqv3n56LQ18B0ABI831JGkjpE0x/WXgy2eG+x66pPi0+59wzU5/aq51c7epT2ClTLnXfhw8P0DWvgbMG9voUVgNW1aP61I7ueq9Pb7W+8nTZv4ITClLoeaakQZUPGmRaXow8Da41yPZXcfhBngZ9+iRY25K+feqHtlvfTdd8OMkhfJVGMvjEWftUn0AXah+ud9Lki0116P4EyWB/+mXqh/aD9kd6P1WuUvaD3x4/1T7RVTKJxBBTIET5/vjS1wZ03igvPfljX5/ya5mu7tBVHprvKaX7qbx8tZ/9vlMwS9ZapqmWa56EAAKxFKBTCEQuQDAgclIqRAABBCpDoP6O71u21Jst0OBXA2Z9R1oDOg00elNP+joaeGtQrfpUry5rVpmXT1z2Xmi7/hNlfWKv+pQ0rzZUlwZKi741y339QMvUngIOWqZP3nXzNp+vfsyYMVmTVNLgTjdqUxnVq4G4tiFVoJczu5Y9bplSuDp/xYMfcPpluiRdfdegMn371E8NRvv16+e+HuHX8dOZM6e6G0bKQdujQIPfHpn0Zp8ryKCrJ+SqetUHJQUsFGRR/en9VDmVV5valnLth7e+3N8yJe8VnvpjVt/7109ZKpiktHDhH7oAlrZZ54sCLOH1/LwcdFy69VuWup+/9Mt6mqb7qa3wfpajjk3tUy3TtG7gAPdVhp7qZjkCCJRKgHYQKK4AwYDi+lI7AgggUPECGrwsX3GTaRAd3hg/oNOgTvNapgGG/zTaT7WelquckuaVNK+kea2ny/41gPH1hJ9rUOTr01Tr/fZvf1ZFXdL6yg8ntesWZnhIr0/rKc8XVT/UvvKVVL+Wqa9qW3lKKqOySppXOe+l5UrK07qlSNpm7Sv1Idyenitfy5Xv+6v+KWnZ1Ksud/drSC+bvs2+DtWjpO1THeGkMn49eWleZdNT+royVN98Oc0rz9et8lqm+lSvz1cZlVXSvMr57fBllKd1S5F8P3zbmoaPr/S+abn6rfVUTs81VV811fNw0rbLwC/TNFzWP1d9qtevG97PKi8Tv0zTmV+dauqblpEQQKBMAjSLQAkFCAaUEJumEEAAAQQQQAABBBBAAIGwAPMIlEuAYEC55GkXAQQQQAABBBBAAAEEalGAbUYgFgIEA2KxG+gEAggggAACCCCAAAIIVK8AW4ZA/AQIBsRvn9AjBBBAAAEEEEAAAQQQqHQB+o9AzAUIBsR8B9E9BBBAAAEEEEAAAQQQqAwBeolAJQkQDKikvUVfEUAAAQQQQAABBBBAIE4C9AWBihUgGFCxu46OI4AAAggggAACCCCAQOkFaBGB6hAgGFAd+5GtQAABBBBAAAEEEEAAgWIJUC8CVShAMKAKdyqbhAACCCCAAAIIIIAAAn0TYG0Eql2AYEC172G2DwEEEEAAAQQQQAABBPIRoAwCNSVAMKCmdjcbiwACCCCAAAIIIIAAAh8JMIdA7QoQDKjdfc+WI4AAAggggAACCCBQewJsMQIIOAGCAY6BBwQQQAABBBBAAAEEEKhWAbYLAQS6CxAM6G5CDgIIIIAAAggggAACCFS2AL1HAIEeBE4EA/q91n7wMSNhwDHAMcAxwDHAMcAxwDHAMcAxwDFQmccA+439xjGQ7zFg1u+1/x8AAP//W/m9TgAAAAZJREFUAwBWsvbauj5snwAAAABJRU5ErkJggg==">
          <a:extLst>
            <a:ext uri="{FF2B5EF4-FFF2-40B4-BE49-F238E27FC236}">
              <a16:creationId xmlns:a16="http://schemas.microsoft.com/office/drawing/2014/main" id="{E327BE0B-74F8-481D-A487-7B894BE18C1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2</xdr:row>
      <xdr:rowOff>185736</xdr:rowOff>
    </xdr:from>
    <xdr:to>
      <xdr:col>10</xdr:col>
      <xdr:colOff>666750</xdr:colOff>
      <xdr:row>25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806F78-81F3-4848-8D9B-E651D5344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27</xdr:row>
      <xdr:rowOff>171450</xdr:rowOff>
    </xdr:from>
    <xdr:to>
      <xdr:col>3</xdr:col>
      <xdr:colOff>1123950</xdr:colOff>
      <xdr:row>50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DFAC7C-8C6C-4D2E-81DA-CD17C528D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76201</xdr:colOff>
      <xdr:row>53</xdr:row>
      <xdr:rowOff>28575</xdr:rowOff>
    </xdr:from>
    <xdr:to>
      <xdr:col>14</xdr:col>
      <xdr:colOff>19050</xdr:colOff>
      <xdr:row>62</xdr:row>
      <xdr:rowOff>2076450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7ABBEF-C68A-4724-952C-95CAD4B19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28</xdr:row>
      <xdr:rowOff>142874</xdr:rowOff>
    </xdr:from>
    <xdr:to>
      <xdr:col>14</xdr:col>
      <xdr:colOff>38100</xdr:colOff>
      <xdr:row>50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89C60E-C36F-4D4B-BB05-D0B7D224D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C-Sales-Management-Dashboard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 - Sales Dashboard"/>
      <sheetName val="BLANK - Sales Dashboard"/>
      <sheetName val="- Disclaimer -"/>
    </sheetNames>
    <sheetDataSet>
      <sheetData sheetId="0">
        <row r="11">
          <cell r="C11">
            <v>1</v>
          </cell>
          <cell r="D11"/>
          <cell r="E11">
            <v>2</v>
          </cell>
          <cell r="F11"/>
          <cell r="G11">
            <v>3</v>
          </cell>
          <cell r="H11"/>
          <cell r="I11">
            <v>4</v>
          </cell>
          <cell r="J11"/>
          <cell r="K11">
            <v>5</v>
          </cell>
          <cell r="L11"/>
        </row>
        <row r="12">
          <cell r="C12" t="str">
            <v>EST</v>
          </cell>
          <cell r="D12" t="str">
            <v>ACT</v>
          </cell>
          <cell r="E12" t="str">
            <v>EST</v>
          </cell>
          <cell r="F12" t="str">
            <v>ACT</v>
          </cell>
          <cell r="G12" t="str">
            <v>EST</v>
          </cell>
          <cell r="H12" t="str">
            <v>ACT</v>
          </cell>
          <cell r="I12" t="str">
            <v>EST</v>
          </cell>
          <cell r="J12" t="str">
            <v>ACT</v>
          </cell>
          <cell r="K12" t="str">
            <v>EST</v>
          </cell>
          <cell r="L12" t="str">
            <v>ACT</v>
          </cell>
        </row>
        <row r="13">
          <cell r="B13" t="str">
            <v>2028 Q1</v>
          </cell>
          <cell r="C13">
            <v>236047</v>
          </cell>
          <cell r="D13">
            <v>328554</v>
          </cell>
          <cell r="E13">
            <v>350156</v>
          </cell>
          <cell r="F13">
            <v>370834</v>
          </cell>
          <cell r="G13">
            <v>229432</v>
          </cell>
          <cell r="H13">
            <v>330368</v>
          </cell>
          <cell r="I13">
            <v>238175</v>
          </cell>
          <cell r="J13">
            <v>266070</v>
          </cell>
          <cell r="K13">
            <v>209115</v>
          </cell>
          <cell r="L13">
            <v>217289</v>
          </cell>
        </row>
        <row r="14">
          <cell r="B14" t="str">
            <v>2028 Q2</v>
          </cell>
          <cell r="C14">
            <v>373060</v>
          </cell>
          <cell r="D14">
            <v>238136</v>
          </cell>
          <cell r="E14">
            <v>369399</v>
          </cell>
          <cell r="F14">
            <v>247324</v>
          </cell>
          <cell r="G14">
            <v>321904</v>
          </cell>
          <cell r="H14">
            <v>279114</v>
          </cell>
          <cell r="I14">
            <v>202721</v>
          </cell>
          <cell r="J14">
            <v>353563</v>
          </cell>
          <cell r="K14">
            <v>317489</v>
          </cell>
          <cell r="L14">
            <v>312312</v>
          </cell>
        </row>
        <row r="15">
          <cell r="B15" t="str">
            <v>2028 Q3</v>
          </cell>
          <cell r="C15">
            <v>224132</v>
          </cell>
          <cell r="D15">
            <v>300822</v>
          </cell>
          <cell r="E15">
            <v>278834</v>
          </cell>
          <cell r="F15">
            <v>237385</v>
          </cell>
          <cell r="G15">
            <v>230496</v>
          </cell>
          <cell r="H15">
            <v>219257</v>
          </cell>
          <cell r="I15">
            <v>253279</v>
          </cell>
          <cell r="J15">
            <v>312586</v>
          </cell>
          <cell r="K15">
            <v>203571</v>
          </cell>
          <cell r="L15">
            <v>203487</v>
          </cell>
        </row>
        <row r="16">
          <cell r="B16" t="str">
            <v>2028 Q4</v>
          </cell>
          <cell r="C16">
            <v>269305</v>
          </cell>
          <cell r="D16">
            <v>315337</v>
          </cell>
          <cell r="E16">
            <v>264277</v>
          </cell>
          <cell r="F16">
            <v>245048</v>
          </cell>
          <cell r="G16">
            <v>254328</v>
          </cell>
          <cell r="H16">
            <v>361880</v>
          </cell>
          <cell r="I16">
            <v>211847</v>
          </cell>
          <cell r="J16">
            <v>306970</v>
          </cell>
          <cell r="K16">
            <v>339945</v>
          </cell>
          <cell r="L16">
            <v>374445</v>
          </cell>
        </row>
        <row r="77">
          <cell r="C77" t="str">
            <v>EST</v>
          </cell>
          <cell r="D77"/>
          <cell r="E77"/>
          <cell r="F77"/>
          <cell r="G77"/>
          <cell r="H77" t="str">
            <v>ACT</v>
          </cell>
          <cell r="I77"/>
          <cell r="J77"/>
          <cell r="K77"/>
          <cell r="L77"/>
        </row>
        <row r="78">
          <cell r="C78" t="str">
            <v>PROD1</v>
          </cell>
          <cell r="D78" t="str">
            <v>PROD2</v>
          </cell>
          <cell r="E78" t="str">
            <v>PROD3</v>
          </cell>
          <cell r="F78" t="str">
            <v>PROD4</v>
          </cell>
          <cell r="G78" t="str">
            <v>PROD5</v>
          </cell>
          <cell r="H78" t="str">
            <v>PROD1</v>
          </cell>
          <cell r="I78" t="str">
            <v>PROD2</v>
          </cell>
          <cell r="J78" t="str">
            <v>PROD3</v>
          </cell>
          <cell r="K78" t="str">
            <v>PROD4</v>
          </cell>
          <cell r="L78" t="str">
            <v>PROD5</v>
          </cell>
        </row>
        <row r="79">
          <cell r="B79">
            <v>2028</v>
          </cell>
          <cell r="C79">
            <v>1102544</v>
          </cell>
          <cell r="D79">
            <v>1262666</v>
          </cell>
          <cell r="E79">
            <v>1036160</v>
          </cell>
          <cell r="F79">
            <v>906022</v>
          </cell>
          <cell r="G79">
            <v>1070120</v>
          </cell>
          <cell r="H79">
            <v>1182849</v>
          </cell>
          <cell r="I79">
            <v>1100591</v>
          </cell>
          <cell r="J79">
            <v>1190619</v>
          </cell>
          <cell r="K79">
            <v>1239189</v>
          </cell>
          <cell r="L79">
            <v>1107533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2AF2-F333-4D9A-AA5D-039C6AAE1DDD}">
  <dimension ref="A1:O154"/>
  <sheetViews>
    <sheetView showGridLines="0" tabSelected="1" workbookViewId="0">
      <selection activeCell="H114" sqref="H114"/>
    </sheetView>
  </sheetViews>
  <sheetFormatPr defaultRowHeight="15" x14ac:dyDescent="0.25"/>
  <cols>
    <col min="1" max="1" width="44.5703125" customWidth="1"/>
    <col min="2" max="2" width="24.7109375" bestFit="1" customWidth="1"/>
    <col min="3" max="3" width="12.5703125" bestFit="1" customWidth="1"/>
    <col min="4" max="4" width="20.85546875" bestFit="1" customWidth="1"/>
    <col min="5" max="7" width="12.5703125" bestFit="1" customWidth="1"/>
    <col min="8" max="8" width="14.28515625" bestFit="1" customWidth="1"/>
    <col min="9" max="10" width="12.5703125" bestFit="1" customWidth="1"/>
    <col min="11" max="11" width="14.28515625" bestFit="1" customWidth="1"/>
  </cols>
  <sheetData>
    <row r="1" spans="1:5" ht="29.25" x14ac:dyDescent="0.4">
      <c r="A1" s="87" t="s">
        <v>44</v>
      </c>
      <c r="B1" s="87"/>
      <c r="C1" s="87"/>
      <c r="D1" s="87"/>
      <c r="E1" s="86"/>
    </row>
    <row r="29" spans="5:14" x14ac:dyDescent="0.25">
      <c r="F29" s="85"/>
      <c r="G29" s="84"/>
      <c r="H29" s="84"/>
      <c r="I29" s="84"/>
      <c r="J29" s="84"/>
      <c r="K29" s="84"/>
      <c r="L29" s="84"/>
      <c r="M29" s="84"/>
      <c r="N29" s="83"/>
    </row>
    <row r="30" spans="5:14" x14ac:dyDescent="0.25">
      <c r="F30" s="82"/>
      <c r="G30" s="81"/>
      <c r="H30" s="81"/>
      <c r="I30" s="81"/>
      <c r="J30" s="81"/>
      <c r="K30" s="81"/>
      <c r="L30" s="81"/>
      <c r="M30" s="81"/>
      <c r="N30" s="80"/>
    </row>
    <row r="31" spans="5:14" x14ac:dyDescent="0.25">
      <c r="E31" s="80"/>
      <c r="F31" s="82"/>
      <c r="G31" s="81"/>
      <c r="H31" s="81"/>
      <c r="I31" s="81"/>
      <c r="J31" s="81"/>
      <c r="K31" s="81"/>
      <c r="L31" s="81"/>
      <c r="M31" s="81"/>
      <c r="N31" s="80"/>
    </row>
    <row r="32" spans="5:14" x14ac:dyDescent="0.25">
      <c r="E32" s="80"/>
      <c r="F32" s="81"/>
      <c r="G32" s="81"/>
      <c r="H32" s="81"/>
      <c r="I32" s="81"/>
      <c r="J32" s="81"/>
      <c r="K32" s="81"/>
      <c r="L32" s="81"/>
      <c r="M32" s="81"/>
      <c r="N32" s="80"/>
    </row>
    <row r="33" spans="5:15" x14ac:dyDescent="0.25">
      <c r="E33" s="80"/>
      <c r="F33" s="82"/>
      <c r="G33" s="81"/>
      <c r="H33" s="81"/>
      <c r="I33" s="81"/>
      <c r="J33" s="81"/>
      <c r="K33" s="81"/>
      <c r="L33" s="81"/>
      <c r="M33" s="81"/>
      <c r="N33" s="80"/>
    </row>
    <row r="34" spans="5:15" x14ac:dyDescent="0.25">
      <c r="F34" s="82"/>
      <c r="G34" s="81"/>
      <c r="H34" s="81"/>
      <c r="I34" s="81"/>
      <c r="J34" s="81"/>
      <c r="K34" s="81"/>
      <c r="L34" s="81"/>
      <c r="M34" s="81"/>
      <c r="N34" s="80"/>
      <c r="O34" s="82"/>
    </row>
    <row r="35" spans="5:15" x14ac:dyDescent="0.25">
      <c r="F35" s="82"/>
      <c r="G35" s="81"/>
      <c r="H35" s="81"/>
      <c r="I35" s="81"/>
      <c r="J35" s="81"/>
      <c r="K35" s="81"/>
      <c r="L35" s="81"/>
      <c r="M35" s="81"/>
      <c r="N35" s="80"/>
    </row>
    <row r="36" spans="5:15" x14ac:dyDescent="0.25">
      <c r="F36" s="82"/>
      <c r="G36" s="81"/>
      <c r="H36" s="81"/>
      <c r="I36" s="81"/>
      <c r="J36" s="81"/>
      <c r="K36" s="81"/>
      <c r="L36" s="81"/>
      <c r="M36" s="81"/>
      <c r="N36" s="80"/>
    </row>
    <row r="37" spans="5:15" x14ac:dyDescent="0.25">
      <c r="F37" s="82"/>
      <c r="G37" s="81"/>
      <c r="H37" s="81"/>
      <c r="I37" s="81"/>
      <c r="J37" s="81"/>
      <c r="K37" s="81"/>
      <c r="L37" s="81"/>
      <c r="M37" s="81"/>
      <c r="N37" s="80"/>
    </row>
    <row r="38" spans="5:15" x14ac:dyDescent="0.25">
      <c r="F38" s="82"/>
      <c r="G38" s="81"/>
      <c r="H38" s="81"/>
      <c r="I38" s="81"/>
      <c r="J38" s="81"/>
      <c r="K38" s="81"/>
      <c r="L38" s="81"/>
      <c r="M38" s="81"/>
      <c r="N38" s="80"/>
    </row>
    <row r="39" spans="5:15" x14ac:dyDescent="0.25">
      <c r="F39" s="82"/>
      <c r="G39" s="81"/>
      <c r="H39" s="81"/>
      <c r="I39" s="81"/>
      <c r="J39" s="81"/>
      <c r="K39" s="81"/>
      <c r="L39" s="81"/>
      <c r="M39" s="81"/>
      <c r="N39" s="80"/>
    </row>
    <row r="40" spans="5:15" x14ac:dyDescent="0.25">
      <c r="F40" s="82"/>
      <c r="G40" s="81"/>
      <c r="H40" s="81"/>
      <c r="I40" s="81"/>
      <c r="J40" s="81"/>
      <c r="K40" s="81"/>
      <c r="L40" s="81"/>
      <c r="M40" s="81"/>
      <c r="N40" s="80"/>
    </row>
    <row r="41" spans="5:15" x14ac:dyDescent="0.25">
      <c r="F41" s="82"/>
      <c r="G41" s="81"/>
      <c r="H41" s="81"/>
      <c r="I41" s="81"/>
      <c r="J41" s="81"/>
      <c r="K41" s="81"/>
      <c r="L41" s="81"/>
      <c r="M41" s="81"/>
      <c r="N41" s="80"/>
    </row>
    <row r="42" spans="5:15" x14ac:dyDescent="0.25">
      <c r="F42" s="82"/>
      <c r="G42" s="81"/>
      <c r="H42" s="81"/>
      <c r="I42" s="81"/>
      <c r="J42" s="81"/>
      <c r="K42" s="81"/>
      <c r="L42" s="81"/>
      <c r="M42" s="81"/>
      <c r="N42" s="80"/>
    </row>
    <row r="43" spans="5:15" x14ac:dyDescent="0.25">
      <c r="F43" s="82"/>
      <c r="G43" s="81"/>
      <c r="H43" s="81"/>
      <c r="I43" s="81"/>
      <c r="J43" s="81"/>
      <c r="K43" s="81"/>
      <c r="L43" s="81"/>
      <c r="M43" s="81"/>
      <c r="N43" s="80"/>
    </row>
    <row r="44" spans="5:15" x14ac:dyDescent="0.25">
      <c r="F44" s="82"/>
      <c r="G44" s="81"/>
      <c r="H44" s="81"/>
      <c r="I44" s="81"/>
      <c r="J44" s="81"/>
      <c r="K44" s="81"/>
      <c r="L44" s="81"/>
      <c r="M44" s="81"/>
      <c r="N44" s="80"/>
    </row>
    <row r="45" spans="5:15" ht="16.5" customHeight="1" x14ac:dyDescent="0.25">
      <c r="F45" s="82"/>
      <c r="G45" s="81"/>
      <c r="H45" s="81"/>
      <c r="I45" s="81"/>
      <c r="J45" s="81"/>
      <c r="K45" s="81"/>
      <c r="L45" s="81"/>
      <c r="M45" s="81"/>
      <c r="N45" s="80"/>
    </row>
    <row r="46" spans="5:15" ht="16.5" customHeight="1" x14ac:dyDescent="0.25">
      <c r="F46" s="82"/>
      <c r="G46" s="81"/>
      <c r="H46" s="81"/>
      <c r="I46" s="81"/>
      <c r="J46" s="81"/>
      <c r="K46" s="81"/>
      <c r="L46" s="81"/>
      <c r="M46" s="81"/>
      <c r="N46" s="80"/>
    </row>
    <row r="47" spans="5:15" ht="16.5" customHeight="1" x14ac:dyDescent="0.25">
      <c r="F47" s="82"/>
      <c r="G47" s="81"/>
      <c r="H47" s="81"/>
      <c r="I47" s="81"/>
      <c r="J47" s="81"/>
      <c r="K47" s="81"/>
      <c r="L47" s="81"/>
      <c r="M47" s="81"/>
      <c r="N47" s="80"/>
    </row>
    <row r="48" spans="5:15" ht="16.5" customHeight="1" x14ac:dyDescent="0.25">
      <c r="F48" s="82"/>
      <c r="G48" s="81"/>
      <c r="H48" s="81"/>
      <c r="I48" s="81"/>
      <c r="J48" s="81"/>
      <c r="K48" s="81"/>
      <c r="L48" s="81"/>
      <c r="M48" s="81"/>
      <c r="N48" s="80"/>
    </row>
    <row r="49" spans="1:14" x14ac:dyDescent="0.25">
      <c r="F49" s="79"/>
      <c r="G49" s="78"/>
      <c r="H49" s="78"/>
      <c r="I49" s="78"/>
      <c r="J49" s="78"/>
      <c r="K49" s="78"/>
      <c r="L49" s="78"/>
      <c r="M49" s="78"/>
      <c r="N49" s="76"/>
    </row>
    <row r="50" spans="1:14" x14ac:dyDescent="0.25">
      <c r="F50" s="77"/>
      <c r="G50" s="74"/>
      <c r="H50" s="75"/>
      <c r="I50" s="75"/>
      <c r="J50" s="76"/>
      <c r="K50" s="75"/>
      <c r="L50" s="75"/>
      <c r="M50" s="75"/>
      <c r="N50" s="74"/>
    </row>
    <row r="62" spans="1:14" ht="31.5" customHeight="1" x14ac:dyDescent="0.25"/>
    <row r="63" spans="1:14" ht="177.75" customHeight="1" x14ac:dyDescent="0.25"/>
    <row r="64" spans="1:14" ht="25.5" customHeight="1" x14ac:dyDescent="0.25">
      <c r="A64" s="71" t="s">
        <v>40</v>
      </c>
      <c r="B64" s="73" t="s">
        <v>43</v>
      </c>
      <c r="C64" s="72"/>
      <c r="D64" s="72"/>
      <c r="E64" s="72"/>
      <c r="F64" s="72"/>
      <c r="G64" s="72"/>
      <c r="H64" s="72"/>
      <c r="I64" s="72"/>
      <c r="J64" s="72"/>
      <c r="K64" s="72"/>
    </row>
    <row r="65" spans="1:11" x14ac:dyDescent="0.25">
      <c r="A65" s="71"/>
      <c r="B65" s="70">
        <v>1</v>
      </c>
      <c r="C65" s="70"/>
      <c r="D65" s="70">
        <v>2</v>
      </c>
      <c r="E65" s="70"/>
      <c r="F65" s="70">
        <v>3</v>
      </c>
      <c r="G65" s="70"/>
      <c r="H65" s="69">
        <v>4</v>
      </c>
      <c r="I65" s="69"/>
      <c r="J65" s="69">
        <v>5</v>
      </c>
      <c r="K65" s="69"/>
    </row>
    <row r="66" spans="1:11" x14ac:dyDescent="0.25">
      <c r="A66" s="68"/>
      <c r="B66" s="67" t="s">
        <v>6</v>
      </c>
      <c r="C66" s="67" t="s">
        <v>5</v>
      </c>
      <c r="D66" s="67" t="s">
        <v>6</v>
      </c>
      <c r="E66" s="67" t="s">
        <v>5</v>
      </c>
      <c r="F66" s="67" t="s">
        <v>6</v>
      </c>
      <c r="G66" s="67" t="s">
        <v>5</v>
      </c>
      <c r="H66" s="66" t="s">
        <v>6</v>
      </c>
      <c r="I66" s="66" t="s">
        <v>5</v>
      </c>
      <c r="J66" s="66" t="s">
        <v>6</v>
      </c>
      <c r="K66" s="66" t="s">
        <v>5</v>
      </c>
    </row>
    <row r="67" spans="1:11" x14ac:dyDescent="0.25">
      <c r="A67" s="42" t="s">
        <v>39</v>
      </c>
      <c r="B67" s="41">
        <v>236047</v>
      </c>
      <c r="C67" s="65">
        <v>328554</v>
      </c>
      <c r="D67" s="41">
        <v>350156</v>
      </c>
      <c r="E67" s="65">
        <v>370834</v>
      </c>
      <c r="F67" s="41">
        <v>229432</v>
      </c>
      <c r="G67" s="65">
        <v>330368</v>
      </c>
      <c r="H67" s="41">
        <v>238175</v>
      </c>
      <c r="I67" s="65">
        <v>266070</v>
      </c>
      <c r="J67" s="41">
        <v>209115</v>
      </c>
      <c r="K67" s="65">
        <v>217289</v>
      </c>
    </row>
    <row r="68" spans="1:11" x14ac:dyDescent="0.25">
      <c r="A68" s="42" t="s">
        <v>38</v>
      </c>
      <c r="B68" s="41">
        <v>373060</v>
      </c>
      <c r="C68" s="65">
        <v>238136</v>
      </c>
      <c r="D68" s="41">
        <v>369399</v>
      </c>
      <c r="E68" s="65">
        <v>247324</v>
      </c>
      <c r="F68" s="41">
        <v>321904</v>
      </c>
      <c r="G68" s="65">
        <v>279114</v>
      </c>
      <c r="H68" s="41">
        <v>202721</v>
      </c>
      <c r="I68" s="65">
        <v>353563</v>
      </c>
      <c r="J68" s="41">
        <v>317489</v>
      </c>
      <c r="K68" s="65">
        <v>312312</v>
      </c>
    </row>
    <row r="69" spans="1:11" x14ac:dyDescent="0.25">
      <c r="A69" s="42" t="s">
        <v>37</v>
      </c>
      <c r="B69" s="41">
        <v>224132</v>
      </c>
      <c r="C69" s="65">
        <v>300822</v>
      </c>
      <c r="D69" s="41">
        <v>278834</v>
      </c>
      <c r="E69" s="65">
        <v>237385</v>
      </c>
      <c r="F69" s="41">
        <v>230496</v>
      </c>
      <c r="G69" s="65">
        <v>219257</v>
      </c>
      <c r="H69" s="41">
        <v>253279</v>
      </c>
      <c r="I69" s="65">
        <v>312586</v>
      </c>
      <c r="J69" s="41">
        <v>203571</v>
      </c>
      <c r="K69" s="65">
        <v>203487</v>
      </c>
    </row>
    <row r="70" spans="1:11" x14ac:dyDescent="0.25">
      <c r="A70" s="42" t="s">
        <v>36</v>
      </c>
      <c r="B70" s="41">
        <v>269305</v>
      </c>
      <c r="C70" s="65">
        <v>315337</v>
      </c>
      <c r="D70" s="41">
        <v>264277</v>
      </c>
      <c r="E70" s="65">
        <v>245048</v>
      </c>
      <c r="F70" s="41">
        <v>254328</v>
      </c>
      <c r="G70" s="65">
        <v>361880</v>
      </c>
      <c r="H70" s="41">
        <v>211847</v>
      </c>
      <c r="I70" s="65">
        <v>306970</v>
      </c>
      <c r="J70" s="41">
        <v>339945</v>
      </c>
      <c r="K70" s="65">
        <v>374445</v>
      </c>
    </row>
    <row r="71" spans="1:11" x14ac:dyDescent="0.25">
      <c r="A71" s="42" t="s">
        <v>35</v>
      </c>
      <c r="B71" s="41">
        <v>265397</v>
      </c>
      <c r="C71" s="65">
        <v>279008</v>
      </c>
      <c r="D71" s="41">
        <v>203006</v>
      </c>
      <c r="E71" s="65">
        <v>295389</v>
      </c>
      <c r="F71" s="41">
        <v>272263</v>
      </c>
      <c r="G71" s="65">
        <v>355419</v>
      </c>
      <c r="H71" s="41">
        <v>369314</v>
      </c>
      <c r="I71" s="65">
        <v>315718</v>
      </c>
      <c r="J71" s="41">
        <v>209938</v>
      </c>
      <c r="K71" s="65">
        <v>219249</v>
      </c>
    </row>
    <row r="72" spans="1:11" x14ac:dyDescent="0.25">
      <c r="A72" s="42" t="s">
        <v>34</v>
      </c>
      <c r="B72" s="41">
        <v>214079</v>
      </c>
      <c r="C72" s="65">
        <v>206019</v>
      </c>
      <c r="D72" s="41">
        <v>276987</v>
      </c>
      <c r="E72" s="65">
        <v>215804</v>
      </c>
      <c r="F72" s="41">
        <v>333645</v>
      </c>
      <c r="G72" s="65">
        <v>231510</v>
      </c>
      <c r="H72" s="41">
        <v>201224</v>
      </c>
      <c r="I72" s="65">
        <v>368630</v>
      </c>
      <c r="J72" s="41">
        <v>283545</v>
      </c>
      <c r="K72" s="65">
        <v>256277</v>
      </c>
    </row>
    <row r="73" spans="1:11" x14ac:dyDescent="0.25">
      <c r="A73" s="42" t="s">
        <v>33</v>
      </c>
      <c r="B73" s="41">
        <v>370191</v>
      </c>
      <c r="C73" s="65">
        <v>238294</v>
      </c>
      <c r="D73" s="41">
        <v>330315</v>
      </c>
      <c r="E73" s="65">
        <v>330443</v>
      </c>
      <c r="F73" s="41">
        <v>238392</v>
      </c>
      <c r="G73" s="65">
        <v>237430</v>
      </c>
      <c r="H73" s="41">
        <v>239792</v>
      </c>
      <c r="I73" s="65">
        <v>255108</v>
      </c>
      <c r="J73" s="41">
        <v>316367</v>
      </c>
      <c r="K73" s="65">
        <v>358836</v>
      </c>
    </row>
    <row r="74" spans="1:11" x14ac:dyDescent="0.25">
      <c r="A74" s="42" t="s">
        <v>32</v>
      </c>
      <c r="B74" s="41">
        <v>266843</v>
      </c>
      <c r="C74" s="65">
        <v>242323</v>
      </c>
      <c r="D74" s="41">
        <v>307477</v>
      </c>
      <c r="E74" s="65">
        <v>262512</v>
      </c>
      <c r="F74" s="41">
        <v>294097</v>
      </c>
      <c r="G74" s="65">
        <v>257680</v>
      </c>
      <c r="H74" s="41">
        <v>271096</v>
      </c>
      <c r="I74" s="65">
        <v>297354</v>
      </c>
      <c r="J74" s="41">
        <v>237669</v>
      </c>
      <c r="K74" s="65">
        <v>329028</v>
      </c>
    </row>
    <row r="75" spans="1:11" x14ac:dyDescent="0.25">
      <c r="A75" s="42" t="s">
        <v>31</v>
      </c>
      <c r="B75" s="41">
        <v>333891</v>
      </c>
      <c r="C75" s="65">
        <v>373211</v>
      </c>
      <c r="D75" s="41">
        <v>367605</v>
      </c>
      <c r="E75" s="65">
        <v>275933</v>
      </c>
      <c r="F75" s="41">
        <v>311437</v>
      </c>
      <c r="G75" s="65">
        <v>310001</v>
      </c>
      <c r="H75" s="41">
        <v>311980</v>
      </c>
      <c r="I75" s="65">
        <v>261561</v>
      </c>
      <c r="J75" s="41">
        <v>368253</v>
      </c>
      <c r="K75" s="65">
        <v>239239</v>
      </c>
    </row>
    <row r="76" spans="1:11" x14ac:dyDescent="0.25">
      <c r="A76" s="42" t="s">
        <v>30</v>
      </c>
      <c r="B76" s="41">
        <v>361538</v>
      </c>
      <c r="C76" s="65">
        <v>221230</v>
      </c>
      <c r="D76" s="41">
        <v>219260</v>
      </c>
      <c r="E76" s="65">
        <v>286799</v>
      </c>
      <c r="F76" s="41">
        <v>363069</v>
      </c>
      <c r="G76" s="65">
        <v>345938</v>
      </c>
      <c r="H76" s="41">
        <v>330582</v>
      </c>
      <c r="I76" s="65">
        <v>305161</v>
      </c>
      <c r="J76" s="41">
        <v>359164</v>
      </c>
      <c r="K76" s="65">
        <v>273336</v>
      </c>
    </row>
    <row r="77" spans="1:11" x14ac:dyDescent="0.25">
      <c r="A77" s="42" t="s">
        <v>29</v>
      </c>
      <c r="B77" s="41">
        <v>366148</v>
      </c>
      <c r="C77" s="65">
        <v>250642</v>
      </c>
      <c r="D77" s="41">
        <v>247384</v>
      </c>
      <c r="E77" s="65">
        <v>261725</v>
      </c>
      <c r="F77" s="41">
        <v>355288</v>
      </c>
      <c r="G77" s="65">
        <v>372337</v>
      </c>
      <c r="H77" s="41">
        <v>227105</v>
      </c>
      <c r="I77" s="65">
        <v>292324</v>
      </c>
      <c r="J77" s="41">
        <v>220999</v>
      </c>
      <c r="K77" s="65">
        <v>371793</v>
      </c>
    </row>
    <row r="78" spans="1:11" x14ac:dyDescent="0.25">
      <c r="A78" s="42" t="s">
        <v>28</v>
      </c>
      <c r="B78" s="41">
        <v>247289</v>
      </c>
      <c r="C78" s="65">
        <v>356598</v>
      </c>
      <c r="D78" s="41">
        <v>356231</v>
      </c>
      <c r="E78" s="65">
        <v>241362</v>
      </c>
      <c r="F78" s="41">
        <v>245378</v>
      </c>
      <c r="G78" s="65">
        <v>306497</v>
      </c>
      <c r="H78" s="41">
        <v>311364</v>
      </c>
      <c r="I78" s="65">
        <v>316546</v>
      </c>
      <c r="J78" s="41">
        <v>328992</v>
      </c>
      <c r="K78" s="65">
        <v>337297</v>
      </c>
    </row>
    <row r="79" spans="1:11" x14ac:dyDescent="0.25">
      <c r="A79" s="42" t="s">
        <v>27</v>
      </c>
      <c r="B79" s="41">
        <v>339097</v>
      </c>
      <c r="C79" s="65">
        <v>355645</v>
      </c>
      <c r="D79" s="41">
        <v>242995</v>
      </c>
      <c r="E79" s="65">
        <v>270315</v>
      </c>
      <c r="F79" s="41">
        <v>302928</v>
      </c>
      <c r="G79" s="65">
        <v>286995</v>
      </c>
      <c r="H79" s="41">
        <v>295710</v>
      </c>
      <c r="I79" s="65">
        <v>350544</v>
      </c>
      <c r="J79" s="41">
        <v>315825</v>
      </c>
      <c r="K79" s="65">
        <v>226109</v>
      </c>
    </row>
    <row r="80" spans="1:11" x14ac:dyDescent="0.25">
      <c r="A80" s="42" t="s">
        <v>26</v>
      </c>
      <c r="B80" s="41">
        <v>353880</v>
      </c>
      <c r="C80" s="65">
        <v>369083</v>
      </c>
      <c r="D80" s="41">
        <v>219374</v>
      </c>
      <c r="E80" s="65">
        <v>341843</v>
      </c>
      <c r="F80" s="41">
        <v>327922</v>
      </c>
      <c r="G80" s="65">
        <v>293654</v>
      </c>
      <c r="H80" s="41">
        <v>349800</v>
      </c>
      <c r="I80" s="65">
        <v>236626</v>
      </c>
      <c r="J80" s="41">
        <v>241620</v>
      </c>
      <c r="K80" s="65">
        <v>356883</v>
      </c>
    </row>
    <row r="81" spans="1:11" x14ac:dyDescent="0.25">
      <c r="A81" s="42" t="s">
        <v>25</v>
      </c>
      <c r="B81" s="41">
        <v>256889</v>
      </c>
      <c r="C81" s="65">
        <v>329865</v>
      </c>
      <c r="D81" s="41">
        <v>269242</v>
      </c>
      <c r="E81" s="65">
        <v>298128</v>
      </c>
      <c r="F81" s="41">
        <v>210889</v>
      </c>
      <c r="G81" s="65">
        <v>355304</v>
      </c>
      <c r="H81" s="41">
        <v>225215</v>
      </c>
      <c r="I81" s="65">
        <v>350550</v>
      </c>
      <c r="J81" s="41">
        <v>333379</v>
      </c>
      <c r="K81" s="65">
        <v>267773</v>
      </c>
    </row>
    <row r="82" spans="1:11" x14ac:dyDescent="0.25">
      <c r="A82" s="42" t="s">
        <v>24</v>
      </c>
      <c r="B82" s="41">
        <v>337266</v>
      </c>
      <c r="C82" s="65">
        <v>234661</v>
      </c>
      <c r="D82" s="41">
        <v>305799</v>
      </c>
      <c r="E82" s="65">
        <v>313098</v>
      </c>
      <c r="F82" s="41">
        <v>314389</v>
      </c>
      <c r="G82" s="65">
        <v>213005</v>
      </c>
      <c r="H82" s="41">
        <v>271494</v>
      </c>
      <c r="I82" s="65">
        <v>324007</v>
      </c>
      <c r="J82" s="41">
        <v>360689</v>
      </c>
      <c r="K82" s="65">
        <v>217830</v>
      </c>
    </row>
    <row r="83" spans="1:11" x14ac:dyDescent="0.25">
      <c r="A83" s="37" t="s">
        <v>23</v>
      </c>
      <c r="B83" s="36">
        <f>SUM(B67:B82)</f>
        <v>4815052</v>
      </c>
      <c r="C83" s="36">
        <f>SUM(C67:C82)</f>
        <v>4639428</v>
      </c>
      <c r="D83" s="36">
        <f>SUM(D67:D82)</f>
        <v>4608341</v>
      </c>
      <c r="E83" s="36">
        <f>SUM(E67:E82)</f>
        <v>4493942</v>
      </c>
      <c r="F83" s="35">
        <f>SUM(F67:F82)</f>
        <v>4605857</v>
      </c>
      <c r="G83" s="35">
        <f>SUM(G67:G82)</f>
        <v>4756389</v>
      </c>
      <c r="H83" s="35">
        <f>SUM(H67:H82)</f>
        <v>4310698</v>
      </c>
      <c r="I83" s="35">
        <f>SUM(I67:I82)</f>
        <v>4913318</v>
      </c>
      <c r="J83" s="35">
        <f>SUM(J67:J82)</f>
        <v>4646560</v>
      </c>
      <c r="K83" s="35">
        <f>SUM(K67:K82)</f>
        <v>4561183</v>
      </c>
    </row>
    <row r="84" spans="1:11" ht="18" x14ac:dyDescent="0.25">
      <c r="A84" s="34"/>
      <c r="B84" s="34"/>
      <c r="C84" s="34"/>
      <c r="D84" s="34"/>
      <c r="E84" s="34"/>
      <c r="F84" s="64" t="s">
        <v>22</v>
      </c>
      <c r="G84" s="63"/>
      <c r="H84" s="61">
        <f>SUM(B83,D83,F83,H83,J83)</f>
        <v>22986508</v>
      </c>
      <c r="I84" s="62" t="s">
        <v>21</v>
      </c>
      <c r="J84" s="62"/>
      <c r="K84" s="61">
        <f>SUM(C83,E83,G83,I83,K83)</f>
        <v>23364260</v>
      </c>
    </row>
    <row r="86" spans="1:11" ht="28.5" x14ac:dyDescent="0.4">
      <c r="A86" s="60" t="s">
        <v>42</v>
      </c>
      <c r="B86" s="60"/>
      <c r="C86" s="60"/>
      <c r="D86" s="48"/>
      <c r="E86" s="48"/>
      <c r="F86" s="48"/>
      <c r="G86" s="48"/>
      <c r="H86" s="48"/>
      <c r="I86" s="48"/>
      <c r="J86" s="48"/>
      <c r="K86" s="48"/>
    </row>
    <row r="87" spans="1:11" ht="18.75" x14ac:dyDescent="0.25">
      <c r="A87" s="57" t="s">
        <v>40</v>
      </c>
      <c r="B87" s="59" t="s">
        <v>13</v>
      </c>
      <c r="C87" s="59"/>
      <c r="D87" s="59" t="s">
        <v>12</v>
      </c>
      <c r="E87" s="59"/>
      <c r="F87" s="59" t="s">
        <v>11</v>
      </c>
      <c r="G87" s="59"/>
      <c r="H87" s="58" t="s">
        <v>10</v>
      </c>
      <c r="I87" s="58"/>
      <c r="J87" s="58" t="s">
        <v>9</v>
      </c>
      <c r="K87" s="58"/>
    </row>
    <row r="88" spans="1:11" x14ac:dyDescent="0.25">
      <c r="A88" s="57"/>
      <c r="B88" s="56" t="s">
        <v>6</v>
      </c>
      <c r="C88" s="56" t="s">
        <v>5</v>
      </c>
      <c r="D88" s="56" t="s">
        <v>6</v>
      </c>
      <c r="E88" s="56" t="s">
        <v>5</v>
      </c>
      <c r="F88" s="56" t="s">
        <v>6</v>
      </c>
      <c r="G88" s="56" t="s">
        <v>5</v>
      </c>
      <c r="H88" s="55" t="s">
        <v>6</v>
      </c>
      <c r="I88" s="55" t="s">
        <v>5</v>
      </c>
      <c r="J88" s="55" t="s">
        <v>6</v>
      </c>
      <c r="K88" s="55" t="s">
        <v>5</v>
      </c>
    </row>
    <row r="89" spans="1:11" x14ac:dyDescent="0.25">
      <c r="A89" s="42" t="s">
        <v>39</v>
      </c>
      <c r="B89" s="39">
        <v>36047</v>
      </c>
      <c r="C89" s="54">
        <v>128554</v>
      </c>
      <c r="D89" s="39">
        <v>550156</v>
      </c>
      <c r="E89" s="54">
        <v>570834</v>
      </c>
      <c r="F89" s="39">
        <v>179432</v>
      </c>
      <c r="G89" s="54">
        <v>280368</v>
      </c>
      <c r="H89" s="39">
        <v>138175</v>
      </c>
      <c r="I89" s="54">
        <v>166070</v>
      </c>
      <c r="J89" s="39">
        <v>359115</v>
      </c>
      <c r="K89" s="54">
        <v>367289</v>
      </c>
    </row>
    <row r="90" spans="1:11" x14ac:dyDescent="0.25">
      <c r="A90" s="42" t="s">
        <v>38</v>
      </c>
      <c r="B90" s="39">
        <v>173060</v>
      </c>
      <c r="C90" s="54">
        <v>38136</v>
      </c>
      <c r="D90" s="39">
        <v>569399</v>
      </c>
      <c r="E90" s="54">
        <v>447324</v>
      </c>
      <c r="F90" s="39">
        <v>271904</v>
      </c>
      <c r="G90" s="54">
        <v>229114</v>
      </c>
      <c r="H90" s="39">
        <v>102721</v>
      </c>
      <c r="I90" s="54">
        <v>253563</v>
      </c>
      <c r="J90" s="39">
        <v>467489</v>
      </c>
      <c r="K90" s="54">
        <v>462312</v>
      </c>
    </row>
    <row r="91" spans="1:11" x14ac:dyDescent="0.25">
      <c r="A91" s="42" t="s">
        <v>37</v>
      </c>
      <c r="B91" s="39">
        <v>24132</v>
      </c>
      <c r="C91" s="54">
        <v>100822</v>
      </c>
      <c r="D91" s="39">
        <v>478834</v>
      </c>
      <c r="E91" s="54">
        <v>437385</v>
      </c>
      <c r="F91" s="39">
        <v>180496</v>
      </c>
      <c r="G91" s="54">
        <v>169257</v>
      </c>
      <c r="H91" s="39">
        <v>153279</v>
      </c>
      <c r="I91" s="54">
        <v>212586</v>
      </c>
      <c r="J91" s="39">
        <v>353571</v>
      </c>
      <c r="K91" s="54">
        <v>353487</v>
      </c>
    </row>
    <row r="92" spans="1:11" x14ac:dyDescent="0.25">
      <c r="A92" s="42" t="s">
        <v>36</v>
      </c>
      <c r="B92" s="39">
        <v>69305</v>
      </c>
      <c r="C92" s="54">
        <v>115337</v>
      </c>
      <c r="D92" s="39">
        <v>464277</v>
      </c>
      <c r="E92" s="54">
        <v>445048</v>
      </c>
      <c r="F92" s="39">
        <v>204328</v>
      </c>
      <c r="G92" s="54">
        <v>311880</v>
      </c>
      <c r="H92" s="39">
        <v>111847</v>
      </c>
      <c r="I92" s="54">
        <v>206970</v>
      </c>
      <c r="J92" s="39">
        <v>489945</v>
      </c>
      <c r="K92" s="54">
        <v>524445</v>
      </c>
    </row>
    <row r="93" spans="1:11" x14ac:dyDescent="0.25">
      <c r="A93" s="42" t="s">
        <v>35</v>
      </c>
      <c r="B93" s="39">
        <v>65397</v>
      </c>
      <c r="C93" s="54">
        <v>79008</v>
      </c>
      <c r="D93" s="39">
        <v>403006</v>
      </c>
      <c r="E93" s="54">
        <v>495389</v>
      </c>
      <c r="F93" s="39">
        <v>222263</v>
      </c>
      <c r="G93" s="54">
        <v>305419</v>
      </c>
      <c r="H93" s="39">
        <v>269314</v>
      </c>
      <c r="I93" s="54">
        <v>215718</v>
      </c>
      <c r="J93" s="39">
        <v>359938</v>
      </c>
      <c r="K93" s="54">
        <v>369249</v>
      </c>
    </row>
    <row r="94" spans="1:11" x14ac:dyDescent="0.25">
      <c r="A94" s="42" t="s">
        <v>34</v>
      </c>
      <c r="B94" s="39">
        <v>14079</v>
      </c>
      <c r="C94" s="54">
        <v>6019</v>
      </c>
      <c r="D94" s="39">
        <v>476987</v>
      </c>
      <c r="E94" s="54">
        <v>415804</v>
      </c>
      <c r="F94" s="39">
        <v>283645</v>
      </c>
      <c r="G94" s="54">
        <v>181510</v>
      </c>
      <c r="H94" s="39">
        <v>101224</v>
      </c>
      <c r="I94" s="54">
        <v>268630</v>
      </c>
      <c r="J94" s="39">
        <v>433545</v>
      </c>
      <c r="K94" s="54">
        <v>406277</v>
      </c>
    </row>
    <row r="95" spans="1:11" x14ac:dyDescent="0.25">
      <c r="A95" s="42" t="s">
        <v>33</v>
      </c>
      <c r="B95" s="39">
        <v>170191</v>
      </c>
      <c r="C95" s="54">
        <v>38294</v>
      </c>
      <c r="D95" s="39">
        <v>530315</v>
      </c>
      <c r="E95" s="54">
        <v>530443</v>
      </c>
      <c r="F95" s="39">
        <v>188392</v>
      </c>
      <c r="G95" s="54">
        <v>187430</v>
      </c>
      <c r="H95" s="39">
        <v>139792</v>
      </c>
      <c r="I95" s="54">
        <v>155108</v>
      </c>
      <c r="J95" s="39">
        <v>466367</v>
      </c>
      <c r="K95" s="54">
        <v>508836</v>
      </c>
    </row>
    <row r="96" spans="1:11" x14ac:dyDescent="0.25">
      <c r="A96" s="42" t="s">
        <v>32</v>
      </c>
      <c r="B96" s="39">
        <v>66843</v>
      </c>
      <c r="C96" s="54">
        <v>42323</v>
      </c>
      <c r="D96" s="39">
        <v>507477</v>
      </c>
      <c r="E96" s="54">
        <v>462512</v>
      </c>
      <c r="F96" s="39">
        <v>244097</v>
      </c>
      <c r="G96" s="54">
        <v>207680</v>
      </c>
      <c r="H96" s="39">
        <v>171096</v>
      </c>
      <c r="I96" s="54">
        <v>197354</v>
      </c>
      <c r="J96" s="39">
        <v>387669</v>
      </c>
      <c r="K96" s="54">
        <v>479028</v>
      </c>
    </row>
    <row r="97" spans="1:11" x14ac:dyDescent="0.25">
      <c r="A97" s="42" t="s">
        <v>31</v>
      </c>
      <c r="B97" s="39">
        <v>133891</v>
      </c>
      <c r="C97" s="54">
        <v>173211</v>
      </c>
      <c r="D97" s="39">
        <v>567605</v>
      </c>
      <c r="E97" s="54">
        <v>475933</v>
      </c>
      <c r="F97" s="39">
        <v>261437</v>
      </c>
      <c r="G97" s="54">
        <v>260001</v>
      </c>
      <c r="H97" s="39">
        <v>211980</v>
      </c>
      <c r="I97" s="54">
        <v>161561</v>
      </c>
      <c r="J97" s="39">
        <v>518253</v>
      </c>
      <c r="K97" s="54">
        <v>389239</v>
      </c>
    </row>
    <row r="98" spans="1:11" x14ac:dyDescent="0.25">
      <c r="A98" s="42" t="s">
        <v>30</v>
      </c>
      <c r="B98" s="39">
        <v>161538</v>
      </c>
      <c r="C98" s="54">
        <v>21230</v>
      </c>
      <c r="D98" s="39">
        <v>419260</v>
      </c>
      <c r="E98" s="54">
        <v>486799</v>
      </c>
      <c r="F98" s="39">
        <v>313069</v>
      </c>
      <c r="G98" s="54">
        <v>295938</v>
      </c>
      <c r="H98" s="39">
        <v>230582</v>
      </c>
      <c r="I98" s="54">
        <v>205161</v>
      </c>
      <c r="J98" s="39">
        <v>509164</v>
      </c>
      <c r="K98" s="54">
        <v>423336</v>
      </c>
    </row>
    <row r="99" spans="1:11" x14ac:dyDescent="0.25">
      <c r="A99" s="42" t="s">
        <v>29</v>
      </c>
      <c r="B99" s="39">
        <v>166148</v>
      </c>
      <c r="C99" s="54">
        <v>50642</v>
      </c>
      <c r="D99" s="39">
        <v>447384</v>
      </c>
      <c r="E99" s="54">
        <v>461725</v>
      </c>
      <c r="F99" s="39">
        <v>305288</v>
      </c>
      <c r="G99" s="54">
        <v>322337</v>
      </c>
      <c r="H99" s="39">
        <v>127105</v>
      </c>
      <c r="I99" s="54">
        <v>192324</v>
      </c>
      <c r="J99" s="39">
        <v>370999</v>
      </c>
      <c r="K99" s="54">
        <v>521793</v>
      </c>
    </row>
    <row r="100" spans="1:11" x14ac:dyDescent="0.25">
      <c r="A100" s="42" t="s">
        <v>28</v>
      </c>
      <c r="B100" s="39">
        <v>47289</v>
      </c>
      <c r="C100" s="54">
        <v>156598</v>
      </c>
      <c r="D100" s="39">
        <v>556231</v>
      </c>
      <c r="E100" s="54">
        <v>441362</v>
      </c>
      <c r="F100" s="39">
        <v>195378</v>
      </c>
      <c r="G100" s="54">
        <v>256497</v>
      </c>
      <c r="H100" s="39">
        <v>211364</v>
      </c>
      <c r="I100" s="54">
        <v>216546</v>
      </c>
      <c r="J100" s="39">
        <v>478992</v>
      </c>
      <c r="K100" s="54">
        <v>487297</v>
      </c>
    </row>
    <row r="101" spans="1:11" x14ac:dyDescent="0.25">
      <c r="A101" s="42" t="s">
        <v>27</v>
      </c>
      <c r="B101" s="39">
        <v>139097</v>
      </c>
      <c r="C101" s="54">
        <v>155645</v>
      </c>
      <c r="D101" s="39">
        <v>442995</v>
      </c>
      <c r="E101" s="54">
        <v>470315</v>
      </c>
      <c r="F101" s="39">
        <v>252928</v>
      </c>
      <c r="G101" s="54">
        <v>236995</v>
      </c>
      <c r="H101" s="39">
        <v>195710</v>
      </c>
      <c r="I101" s="54">
        <v>250544</v>
      </c>
      <c r="J101" s="39">
        <v>465825</v>
      </c>
      <c r="K101" s="54">
        <v>376109</v>
      </c>
    </row>
    <row r="102" spans="1:11" x14ac:dyDescent="0.25">
      <c r="A102" s="42" t="s">
        <v>26</v>
      </c>
      <c r="B102" s="39">
        <v>153880</v>
      </c>
      <c r="C102" s="54">
        <v>169083</v>
      </c>
      <c r="D102" s="39">
        <v>419374</v>
      </c>
      <c r="E102" s="54">
        <v>541843</v>
      </c>
      <c r="F102" s="39">
        <v>277922</v>
      </c>
      <c r="G102" s="54">
        <v>243654</v>
      </c>
      <c r="H102" s="39">
        <v>249800</v>
      </c>
      <c r="I102" s="54">
        <v>136626</v>
      </c>
      <c r="J102" s="39">
        <v>391620</v>
      </c>
      <c r="K102" s="54">
        <v>506883</v>
      </c>
    </row>
    <row r="103" spans="1:11" x14ac:dyDescent="0.25">
      <c r="A103" s="42" t="s">
        <v>25</v>
      </c>
      <c r="B103" s="39">
        <v>56889</v>
      </c>
      <c r="C103" s="54">
        <v>129865</v>
      </c>
      <c r="D103" s="39">
        <v>469242</v>
      </c>
      <c r="E103" s="54">
        <v>498128</v>
      </c>
      <c r="F103" s="39">
        <v>160889</v>
      </c>
      <c r="G103" s="54">
        <v>305304</v>
      </c>
      <c r="H103" s="39">
        <v>125215</v>
      </c>
      <c r="I103" s="54">
        <v>250550</v>
      </c>
      <c r="J103" s="39">
        <v>483379</v>
      </c>
      <c r="K103" s="54">
        <v>417773</v>
      </c>
    </row>
    <row r="104" spans="1:11" x14ac:dyDescent="0.25">
      <c r="A104" s="42" t="s">
        <v>24</v>
      </c>
      <c r="B104" s="39">
        <v>137266</v>
      </c>
      <c r="C104" s="54">
        <v>34661</v>
      </c>
      <c r="D104" s="39">
        <v>505799</v>
      </c>
      <c r="E104" s="54">
        <v>513098</v>
      </c>
      <c r="F104" s="39">
        <v>264389</v>
      </c>
      <c r="G104" s="54">
        <v>163005</v>
      </c>
      <c r="H104" s="39">
        <v>171494</v>
      </c>
      <c r="I104" s="54">
        <v>224007</v>
      </c>
      <c r="J104" s="39">
        <v>510689</v>
      </c>
      <c r="K104" s="54">
        <v>367830</v>
      </c>
    </row>
    <row r="105" spans="1:11" x14ac:dyDescent="0.25">
      <c r="A105" s="37" t="s">
        <v>23</v>
      </c>
      <c r="B105" s="36">
        <f>SUM(B89:B104)</f>
        <v>1615052</v>
      </c>
      <c r="C105" s="36">
        <f>SUM(C89:C104)</f>
        <v>1439428</v>
      </c>
      <c r="D105" s="36">
        <f>SUM(D89:D104)</f>
        <v>7808341</v>
      </c>
      <c r="E105" s="36">
        <f>SUM(E89:E104)</f>
        <v>7693942</v>
      </c>
      <c r="F105" s="35">
        <f>SUM(F89:F104)</f>
        <v>3805857</v>
      </c>
      <c r="G105" s="35">
        <f>SUM(G89:G104)</f>
        <v>3956389</v>
      </c>
      <c r="H105" s="35">
        <f>SUM(H89:H104)</f>
        <v>2710698</v>
      </c>
      <c r="I105" s="35">
        <f>SUM(I89:I104)</f>
        <v>3313318</v>
      </c>
      <c r="J105" s="35">
        <f>SUM(J89:J104)</f>
        <v>7046560</v>
      </c>
      <c r="K105" s="35">
        <f>SUM(K89:K104)</f>
        <v>6961183</v>
      </c>
    </row>
    <row r="106" spans="1:11" ht="18" x14ac:dyDescent="0.25">
      <c r="A106" s="34"/>
      <c r="B106" s="34"/>
      <c r="C106" s="34"/>
      <c r="D106" s="34"/>
      <c r="E106" s="34"/>
      <c r="F106" s="53" t="s">
        <v>22</v>
      </c>
      <c r="G106" s="52"/>
      <c r="H106" s="50">
        <f>SUM(B105,D105,F105,H105,J105)</f>
        <v>22986508</v>
      </c>
      <c r="I106" s="51" t="s">
        <v>21</v>
      </c>
      <c r="J106" s="51"/>
      <c r="K106" s="50">
        <f>SUM(C105,E105,G105,I105,K105)</f>
        <v>23364260</v>
      </c>
    </row>
    <row r="109" spans="1:11" ht="28.5" x14ac:dyDescent="0.4">
      <c r="A109" s="49" t="s">
        <v>41</v>
      </c>
      <c r="B109" s="49"/>
      <c r="C109" s="49"/>
      <c r="D109" s="48"/>
      <c r="E109" s="48"/>
      <c r="F109" s="48"/>
      <c r="G109" s="48"/>
      <c r="H109" s="48"/>
      <c r="I109" s="48"/>
      <c r="J109" s="48"/>
      <c r="K109" s="48"/>
    </row>
    <row r="110" spans="1:11" ht="18.75" x14ac:dyDescent="0.25">
      <c r="A110" s="45" t="s">
        <v>40</v>
      </c>
      <c r="B110" s="47" t="s">
        <v>4</v>
      </c>
      <c r="C110" s="47"/>
      <c r="D110" s="47" t="s">
        <v>3</v>
      </c>
      <c r="E110" s="47"/>
      <c r="F110" s="47" t="s">
        <v>2</v>
      </c>
      <c r="G110" s="47"/>
      <c r="H110" s="46" t="s">
        <v>1</v>
      </c>
      <c r="I110" s="46"/>
      <c r="J110" s="46" t="s">
        <v>0</v>
      </c>
      <c r="K110" s="46"/>
    </row>
    <row r="111" spans="1:11" x14ac:dyDescent="0.25">
      <c r="A111" s="45"/>
      <c r="B111" s="44" t="s">
        <v>6</v>
      </c>
      <c r="C111" s="44" t="s">
        <v>5</v>
      </c>
      <c r="D111" s="44" t="s">
        <v>6</v>
      </c>
      <c r="E111" s="44" t="s">
        <v>5</v>
      </c>
      <c r="F111" s="44" t="s">
        <v>6</v>
      </c>
      <c r="G111" s="44" t="s">
        <v>5</v>
      </c>
      <c r="H111" s="43" t="s">
        <v>6</v>
      </c>
      <c r="I111" s="43" t="s">
        <v>5</v>
      </c>
      <c r="J111" s="43" t="s">
        <v>6</v>
      </c>
      <c r="K111" s="43" t="s">
        <v>5</v>
      </c>
    </row>
    <row r="112" spans="1:11" x14ac:dyDescent="0.25">
      <c r="A112" s="42" t="s">
        <v>39</v>
      </c>
      <c r="B112" s="41">
        <v>336047</v>
      </c>
      <c r="C112" s="40">
        <v>428554</v>
      </c>
      <c r="D112" s="39">
        <v>425156</v>
      </c>
      <c r="E112" s="38">
        <v>445834</v>
      </c>
      <c r="F112" s="39">
        <v>129432</v>
      </c>
      <c r="G112" s="38">
        <v>230368</v>
      </c>
      <c r="H112" s="39">
        <v>363175</v>
      </c>
      <c r="I112" s="38">
        <v>391070</v>
      </c>
      <c r="J112" s="39">
        <v>9115</v>
      </c>
      <c r="K112" s="38">
        <v>17289</v>
      </c>
    </row>
    <row r="113" spans="1:11" x14ac:dyDescent="0.25">
      <c r="A113" s="42" t="s">
        <v>38</v>
      </c>
      <c r="B113" s="41">
        <v>473060</v>
      </c>
      <c r="C113" s="40">
        <v>338136</v>
      </c>
      <c r="D113" s="39">
        <v>444399</v>
      </c>
      <c r="E113" s="38">
        <v>322324</v>
      </c>
      <c r="F113" s="39">
        <v>221904</v>
      </c>
      <c r="G113" s="38">
        <v>179114</v>
      </c>
      <c r="H113" s="39">
        <v>327721</v>
      </c>
      <c r="I113" s="38">
        <v>478563</v>
      </c>
      <c r="J113" s="39">
        <v>117489</v>
      </c>
      <c r="K113" s="38">
        <v>112312</v>
      </c>
    </row>
    <row r="114" spans="1:11" x14ac:dyDescent="0.25">
      <c r="A114" s="42" t="s">
        <v>37</v>
      </c>
      <c r="B114" s="41">
        <v>324132</v>
      </c>
      <c r="C114" s="40">
        <v>400822</v>
      </c>
      <c r="D114" s="39">
        <v>353834</v>
      </c>
      <c r="E114" s="38">
        <v>312385</v>
      </c>
      <c r="F114" s="39">
        <v>130496</v>
      </c>
      <c r="G114" s="38">
        <v>119257</v>
      </c>
      <c r="H114" s="39">
        <v>378279</v>
      </c>
      <c r="I114" s="38">
        <v>437586</v>
      </c>
      <c r="J114" s="39">
        <v>3571</v>
      </c>
      <c r="K114" s="38">
        <v>3487</v>
      </c>
    </row>
    <row r="115" spans="1:11" x14ac:dyDescent="0.25">
      <c r="A115" s="42" t="s">
        <v>36</v>
      </c>
      <c r="B115" s="41">
        <v>369305</v>
      </c>
      <c r="C115" s="40">
        <v>415337</v>
      </c>
      <c r="D115" s="39">
        <v>339277</v>
      </c>
      <c r="E115" s="38">
        <v>320048</v>
      </c>
      <c r="F115" s="39">
        <v>154328</v>
      </c>
      <c r="G115" s="38">
        <v>261880</v>
      </c>
      <c r="H115" s="39">
        <v>336847</v>
      </c>
      <c r="I115" s="38">
        <v>431970</v>
      </c>
      <c r="J115" s="39">
        <v>139945</v>
      </c>
      <c r="K115" s="38">
        <v>174445</v>
      </c>
    </row>
    <row r="116" spans="1:11" x14ac:dyDescent="0.25">
      <c r="A116" s="42" t="s">
        <v>35</v>
      </c>
      <c r="B116" s="41">
        <v>365397</v>
      </c>
      <c r="C116" s="40">
        <v>379008</v>
      </c>
      <c r="D116" s="39">
        <v>278006</v>
      </c>
      <c r="E116" s="38">
        <v>370389</v>
      </c>
      <c r="F116" s="39">
        <v>172263</v>
      </c>
      <c r="G116" s="38">
        <v>255419</v>
      </c>
      <c r="H116" s="39">
        <v>494314</v>
      </c>
      <c r="I116" s="38">
        <v>440718</v>
      </c>
      <c r="J116" s="39">
        <v>9938</v>
      </c>
      <c r="K116" s="38">
        <v>19249</v>
      </c>
    </row>
    <row r="117" spans="1:11" x14ac:dyDescent="0.25">
      <c r="A117" s="42" t="s">
        <v>34</v>
      </c>
      <c r="B117" s="41">
        <v>314079</v>
      </c>
      <c r="C117" s="40">
        <v>306019</v>
      </c>
      <c r="D117" s="39">
        <v>351987</v>
      </c>
      <c r="E117" s="38">
        <v>290804</v>
      </c>
      <c r="F117" s="39">
        <v>233645</v>
      </c>
      <c r="G117" s="38">
        <v>131510</v>
      </c>
      <c r="H117" s="39">
        <v>326224</v>
      </c>
      <c r="I117" s="38">
        <v>493630</v>
      </c>
      <c r="J117" s="39">
        <v>83545</v>
      </c>
      <c r="K117" s="38">
        <v>56277</v>
      </c>
    </row>
    <row r="118" spans="1:11" x14ac:dyDescent="0.25">
      <c r="A118" s="42" t="s">
        <v>33</v>
      </c>
      <c r="B118" s="41">
        <v>470191</v>
      </c>
      <c r="C118" s="40">
        <v>338294</v>
      </c>
      <c r="D118" s="39">
        <v>405315</v>
      </c>
      <c r="E118" s="38">
        <v>405443</v>
      </c>
      <c r="F118" s="39">
        <v>138392</v>
      </c>
      <c r="G118" s="38">
        <v>137430</v>
      </c>
      <c r="H118" s="39">
        <v>364792</v>
      </c>
      <c r="I118" s="38">
        <v>380108</v>
      </c>
      <c r="J118" s="39">
        <v>116367</v>
      </c>
      <c r="K118" s="38">
        <v>158836</v>
      </c>
    </row>
    <row r="119" spans="1:11" x14ac:dyDescent="0.25">
      <c r="A119" s="42" t="s">
        <v>32</v>
      </c>
      <c r="B119" s="41">
        <v>366843</v>
      </c>
      <c r="C119" s="40">
        <v>342323</v>
      </c>
      <c r="D119" s="39">
        <v>382477</v>
      </c>
      <c r="E119" s="38">
        <v>337512</v>
      </c>
      <c r="F119" s="39">
        <v>194097</v>
      </c>
      <c r="G119" s="38">
        <v>157680</v>
      </c>
      <c r="H119" s="39">
        <v>396096</v>
      </c>
      <c r="I119" s="38">
        <v>422354</v>
      </c>
      <c r="J119" s="39">
        <v>37669</v>
      </c>
      <c r="K119" s="38">
        <v>129028</v>
      </c>
    </row>
    <row r="120" spans="1:11" x14ac:dyDescent="0.25">
      <c r="A120" s="42" t="s">
        <v>31</v>
      </c>
      <c r="B120" s="41">
        <v>433891</v>
      </c>
      <c r="C120" s="40">
        <v>373211</v>
      </c>
      <c r="D120" s="39">
        <v>442605</v>
      </c>
      <c r="E120" s="38">
        <v>350933</v>
      </c>
      <c r="F120" s="39">
        <v>211437</v>
      </c>
      <c r="G120" s="38">
        <v>210001</v>
      </c>
      <c r="H120" s="39">
        <v>436980</v>
      </c>
      <c r="I120" s="38">
        <v>386561</v>
      </c>
      <c r="J120" s="39">
        <v>168253</v>
      </c>
      <c r="K120" s="38">
        <v>39239</v>
      </c>
    </row>
    <row r="121" spans="1:11" x14ac:dyDescent="0.25">
      <c r="A121" s="42" t="s">
        <v>30</v>
      </c>
      <c r="B121" s="41">
        <v>461538</v>
      </c>
      <c r="C121" s="40">
        <v>321230</v>
      </c>
      <c r="D121" s="39">
        <v>294260</v>
      </c>
      <c r="E121" s="38">
        <v>361799</v>
      </c>
      <c r="F121" s="39">
        <v>263069</v>
      </c>
      <c r="G121" s="38">
        <v>245938</v>
      </c>
      <c r="H121" s="39">
        <v>455582</v>
      </c>
      <c r="I121" s="38">
        <v>430161</v>
      </c>
      <c r="J121" s="39">
        <v>159164</v>
      </c>
      <c r="K121" s="38">
        <v>73336</v>
      </c>
    </row>
    <row r="122" spans="1:11" x14ac:dyDescent="0.25">
      <c r="A122" s="42" t="s">
        <v>29</v>
      </c>
      <c r="B122" s="41">
        <v>466148</v>
      </c>
      <c r="C122" s="40">
        <v>350642</v>
      </c>
      <c r="D122" s="39">
        <v>322384</v>
      </c>
      <c r="E122" s="38">
        <v>336725</v>
      </c>
      <c r="F122" s="39">
        <v>255288</v>
      </c>
      <c r="G122" s="38">
        <v>272337</v>
      </c>
      <c r="H122" s="39">
        <v>352105</v>
      </c>
      <c r="I122" s="38">
        <v>417324</v>
      </c>
      <c r="J122" s="39">
        <v>20999</v>
      </c>
      <c r="K122" s="38">
        <v>171793</v>
      </c>
    </row>
    <row r="123" spans="1:11" x14ac:dyDescent="0.25">
      <c r="A123" s="42" t="s">
        <v>28</v>
      </c>
      <c r="B123" s="41">
        <v>347289</v>
      </c>
      <c r="C123" s="40">
        <v>456598</v>
      </c>
      <c r="D123" s="39">
        <v>431231</v>
      </c>
      <c r="E123" s="38">
        <v>316362</v>
      </c>
      <c r="F123" s="39">
        <v>145378</v>
      </c>
      <c r="G123" s="38">
        <v>206497</v>
      </c>
      <c r="H123" s="39">
        <v>436364</v>
      </c>
      <c r="I123" s="38">
        <v>441546</v>
      </c>
      <c r="J123" s="39">
        <v>128992</v>
      </c>
      <c r="K123" s="38">
        <v>137297</v>
      </c>
    </row>
    <row r="124" spans="1:11" x14ac:dyDescent="0.25">
      <c r="A124" s="42" t="s">
        <v>27</v>
      </c>
      <c r="B124" s="41">
        <v>439097</v>
      </c>
      <c r="C124" s="40">
        <v>455645</v>
      </c>
      <c r="D124" s="39">
        <v>317995</v>
      </c>
      <c r="E124" s="38">
        <v>345315</v>
      </c>
      <c r="F124" s="39">
        <v>202928</v>
      </c>
      <c r="G124" s="38">
        <v>186995</v>
      </c>
      <c r="H124" s="39">
        <v>420710</v>
      </c>
      <c r="I124" s="38">
        <v>475544</v>
      </c>
      <c r="J124" s="39">
        <v>115825</v>
      </c>
      <c r="K124" s="38">
        <v>26109</v>
      </c>
    </row>
    <row r="125" spans="1:11" x14ac:dyDescent="0.25">
      <c r="A125" s="42" t="s">
        <v>26</v>
      </c>
      <c r="B125" s="41">
        <v>453880</v>
      </c>
      <c r="C125" s="40">
        <v>469083</v>
      </c>
      <c r="D125" s="39">
        <v>294374</v>
      </c>
      <c r="E125" s="38">
        <v>416843</v>
      </c>
      <c r="F125" s="39">
        <v>227922</v>
      </c>
      <c r="G125" s="38">
        <v>193654</v>
      </c>
      <c r="H125" s="39">
        <v>474800</v>
      </c>
      <c r="I125" s="38">
        <v>361626</v>
      </c>
      <c r="J125" s="39">
        <v>41620</v>
      </c>
      <c r="K125" s="38">
        <v>156883</v>
      </c>
    </row>
    <row r="126" spans="1:11" x14ac:dyDescent="0.25">
      <c r="A126" s="42" t="s">
        <v>25</v>
      </c>
      <c r="B126" s="41">
        <v>356889</v>
      </c>
      <c r="C126" s="40">
        <v>429865</v>
      </c>
      <c r="D126" s="39">
        <v>344242</v>
      </c>
      <c r="E126" s="38">
        <v>373128</v>
      </c>
      <c r="F126" s="39">
        <v>110889</v>
      </c>
      <c r="G126" s="38">
        <v>255304</v>
      </c>
      <c r="H126" s="39">
        <v>350215</v>
      </c>
      <c r="I126" s="38">
        <v>475550</v>
      </c>
      <c r="J126" s="39">
        <v>133379</v>
      </c>
      <c r="K126" s="38">
        <v>67773</v>
      </c>
    </row>
    <row r="127" spans="1:11" x14ac:dyDescent="0.25">
      <c r="A127" s="42" t="s">
        <v>24</v>
      </c>
      <c r="B127" s="41">
        <v>437266</v>
      </c>
      <c r="C127" s="40">
        <v>334661</v>
      </c>
      <c r="D127" s="39">
        <v>380799</v>
      </c>
      <c r="E127" s="38">
        <v>388098</v>
      </c>
      <c r="F127" s="39">
        <v>214389</v>
      </c>
      <c r="G127" s="38">
        <v>113005</v>
      </c>
      <c r="H127" s="39">
        <v>396494</v>
      </c>
      <c r="I127" s="38">
        <v>449007</v>
      </c>
      <c r="J127" s="39">
        <v>160689</v>
      </c>
      <c r="K127" s="38">
        <v>17830</v>
      </c>
    </row>
    <row r="128" spans="1:11" x14ac:dyDescent="0.25">
      <c r="A128" s="37" t="s">
        <v>23</v>
      </c>
      <c r="B128" s="36">
        <f>SUM(B112:B127)</f>
        <v>6415052</v>
      </c>
      <c r="C128" s="36">
        <f>SUM(C112:C127)</f>
        <v>6139428</v>
      </c>
      <c r="D128" s="36">
        <f>SUM(D112:D127)</f>
        <v>5808341</v>
      </c>
      <c r="E128" s="36">
        <f>SUM(E112:E127)</f>
        <v>5693942</v>
      </c>
      <c r="F128" s="35">
        <f>SUM(F112:F127)</f>
        <v>3005857</v>
      </c>
      <c r="G128" s="35">
        <f>SUM(G112:G127)</f>
        <v>3156389</v>
      </c>
      <c r="H128" s="35">
        <f>SUM(H112:H127)</f>
        <v>6310698</v>
      </c>
      <c r="I128" s="35">
        <f>SUM(I112:I127)</f>
        <v>6913318</v>
      </c>
      <c r="J128" s="35">
        <f>SUM(J112:J127)</f>
        <v>1446560</v>
      </c>
      <c r="K128" s="35">
        <f>SUM(K112:K127)</f>
        <v>1361183</v>
      </c>
    </row>
    <row r="129" spans="1:11" ht="18" x14ac:dyDescent="0.25">
      <c r="A129" s="34"/>
      <c r="B129" s="34"/>
      <c r="C129" s="34"/>
      <c r="D129" s="34"/>
      <c r="E129" s="34"/>
      <c r="F129" s="33" t="s">
        <v>22</v>
      </c>
      <c r="G129" s="32"/>
      <c r="H129" s="30">
        <f>SUM(B128,D128,F128,H128,J128)</f>
        <v>22986508</v>
      </c>
      <c r="I129" s="31" t="s">
        <v>21</v>
      </c>
      <c r="J129" s="31"/>
      <c r="K129" s="30">
        <f>SUM(C128,E128,G128,I128,K128)</f>
        <v>23264260</v>
      </c>
    </row>
    <row r="131" spans="1:11" ht="28.5" x14ac:dyDescent="0.25">
      <c r="A131" s="29" t="s">
        <v>20</v>
      </c>
      <c r="B131" s="28"/>
      <c r="C131" s="28"/>
      <c r="D131" s="27"/>
      <c r="E131" s="27"/>
      <c r="F131" s="27"/>
      <c r="G131" s="27"/>
      <c r="H131" s="27"/>
      <c r="I131" s="27"/>
      <c r="J131" s="27"/>
      <c r="K131" s="26"/>
    </row>
    <row r="132" spans="1:11" x14ac:dyDescent="0.25">
      <c r="A132" s="8" t="s">
        <v>7</v>
      </c>
      <c r="B132" s="25" t="s">
        <v>6</v>
      </c>
      <c r="C132" s="25"/>
      <c r="D132" s="25"/>
      <c r="E132" s="25"/>
      <c r="F132" s="25"/>
      <c r="G132" s="25" t="s">
        <v>5</v>
      </c>
      <c r="H132" s="25"/>
      <c r="I132" s="25"/>
      <c r="J132" s="25"/>
      <c r="K132" s="24"/>
    </row>
    <row r="133" spans="1:11" x14ac:dyDescent="0.25">
      <c r="A133" s="5"/>
      <c r="B133" s="23" t="s">
        <v>19</v>
      </c>
      <c r="C133" s="23" t="s">
        <v>18</v>
      </c>
      <c r="D133" s="23" t="s">
        <v>17</v>
      </c>
      <c r="E133" s="23" t="s">
        <v>16</v>
      </c>
      <c r="F133" s="23" t="s">
        <v>15</v>
      </c>
      <c r="G133" s="23" t="s">
        <v>19</v>
      </c>
      <c r="H133" s="22" t="s">
        <v>18</v>
      </c>
      <c r="I133" s="22" t="s">
        <v>17</v>
      </c>
      <c r="J133" s="22" t="s">
        <v>16</v>
      </c>
      <c r="K133" s="22" t="s">
        <v>15</v>
      </c>
    </row>
    <row r="134" spans="1:11" x14ac:dyDescent="0.25">
      <c r="A134" s="2">
        <v>2028</v>
      </c>
      <c r="B134" s="1">
        <f>SUM(B67:B70)</f>
        <v>1102544</v>
      </c>
      <c r="C134" s="1">
        <f>SUM(C67:C70)</f>
        <v>1182849</v>
      </c>
      <c r="D134" s="1">
        <f>SUM(D67:D70)</f>
        <v>1262666</v>
      </c>
      <c r="E134" s="1">
        <f>SUM(E67:E70)</f>
        <v>1100591</v>
      </c>
      <c r="F134" s="1">
        <f>SUM(F67:F70)</f>
        <v>1036160</v>
      </c>
      <c r="G134" s="21">
        <f>SUM(G67:G70)</f>
        <v>1190619</v>
      </c>
      <c r="H134" s="21">
        <f>SUM(H67:H70)</f>
        <v>906022</v>
      </c>
      <c r="I134" s="21">
        <f>SUM(I67:I70)</f>
        <v>1239189</v>
      </c>
      <c r="J134" s="21">
        <f>SUM(J67:J70)</f>
        <v>1070120</v>
      </c>
      <c r="K134" s="21">
        <f>SUM(K67:K70)</f>
        <v>1107533</v>
      </c>
    </row>
    <row r="135" spans="1:11" x14ac:dyDescent="0.25">
      <c r="A135" s="2">
        <v>2029</v>
      </c>
      <c r="B135" s="1">
        <f>SUM(B71:B74)</f>
        <v>1116510</v>
      </c>
      <c r="C135" s="1">
        <f>SUM(C71:C74)</f>
        <v>965644</v>
      </c>
      <c r="D135" s="1">
        <f>SUM(D71:D74)</f>
        <v>1117785</v>
      </c>
      <c r="E135" s="1">
        <f>SUM(E71:E74)</f>
        <v>1104148</v>
      </c>
      <c r="F135" s="1">
        <f>SUM(F71:F74)</f>
        <v>1138397</v>
      </c>
      <c r="G135" s="21">
        <f>SUM(G71:G74)</f>
        <v>1082039</v>
      </c>
      <c r="H135" s="21">
        <f>SUM(H71:H74)</f>
        <v>1081426</v>
      </c>
      <c r="I135" s="21">
        <f>SUM(I71:I74)</f>
        <v>1236810</v>
      </c>
      <c r="J135" s="21">
        <f>SUM(J71:J74)</f>
        <v>1047519</v>
      </c>
      <c r="K135" s="21">
        <f>SUM(K71:K74)</f>
        <v>1163390</v>
      </c>
    </row>
    <row r="136" spans="1:11" x14ac:dyDescent="0.25">
      <c r="A136" s="2">
        <v>2030</v>
      </c>
      <c r="B136" s="1">
        <f>SUM(B75:B78)</f>
        <v>1308866</v>
      </c>
      <c r="C136" s="1">
        <f>SUM(C75:C78)</f>
        <v>1201681</v>
      </c>
      <c r="D136" s="1">
        <f>SUM(D75:D78)</f>
        <v>1190480</v>
      </c>
      <c r="E136" s="1">
        <f>SUM(E75:E78)</f>
        <v>1065819</v>
      </c>
      <c r="F136" s="1">
        <f>SUM(F75:F78)</f>
        <v>1275172</v>
      </c>
      <c r="G136" s="21">
        <f>SUM(F75:F78)</f>
        <v>1275172</v>
      </c>
      <c r="H136" s="21">
        <f>SUM(I75:I78)</f>
        <v>1175592</v>
      </c>
      <c r="I136" s="21">
        <f>SUM(I75:I78)</f>
        <v>1175592</v>
      </c>
      <c r="J136" s="21">
        <f>SUM(J75:J78)</f>
        <v>1277408</v>
      </c>
      <c r="K136" s="21">
        <f>SUM(K75:K78)</f>
        <v>1221665</v>
      </c>
    </row>
    <row r="137" spans="1:11" x14ac:dyDescent="0.25">
      <c r="A137" s="2">
        <v>2031</v>
      </c>
      <c r="B137" s="1">
        <f>SUM(B79:B82)</f>
        <v>1287132</v>
      </c>
      <c r="C137" s="1">
        <f>SUM(C79:C82)</f>
        <v>1289254</v>
      </c>
      <c r="D137" s="1">
        <f>SUM(D79:D82)</f>
        <v>1037410</v>
      </c>
      <c r="E137" s="1">
        <f>SUM(E79:E82)</f>
        <v>1223384</v>
      </c>
      <c r="F137" s="1">
        <f>SUM(F79:F82)</f>
        <v>1156128</v>
      </c>
      <c r="G137" s="21">
        <f>SUM(G79:G82)</f>
        <v>1148958</v>
      </c>
      <c r="H137" s="1">
        <f>SUM(H79:H82)</f>
        <v>1142219</v>
      </c>
      <c r="I137" s="1">
        <f>SUM(I79:I82)</f>
        <v>1261727</v>
      </c>
      <c r="J137" s="1">
        <f>SUM(J79:J82)</f>
        <v>1251513</v>
      </c>
      <c r="K137" s="1">
        <f>SUM(K79:K82)</f>
        <v>1068595</v>
      </c>
    </row>
    <row r="139" spans="1:11" ht="28.5" x14ac:dyDescent="0.25">
      <c r="A139" s="20" t="s">
        <v>14</v>
      </c>
      <c r="B139" s="19"/>
      <c r="C139" s="19"/>
      <c r="D139" s="18"/>
      <c r="E139" s="18"/>
      <c r="F139" s="18"/>
      <c r="G139" s="18"/>
      <c r="H139" s="18"/>
      <c r="I139" s="18"/>
      <c r="J139" s="18"/>
      <c r="K139" s="17"/>
    </row>
    <row r="140" spans="1:11" x14ac:dyDescent="0.25">
      <c r="A140" s="8" t="s">
        <v>7</v>
      </c>
      <c r="B140" s="16" t="s">
        <v>6</v>
      </c>
      <c r="C140" s="16"/>
      <c r="D140" s="16"/>
      <c r="E140" s="16"/>
      <c r="F140" s="16"/>
      <c r="G140" s="16" t="s">
        <v>5</v>
      </c>
      <c r="H140" s="16"/>
      <c r="I140" s="16"/>
      <c r="J140" s="16"/>
      <c r="K140" s="15"/>
    </row>
    <row r="141" spans="1:11" x14ac:dyDescent="0.25">
      <c r="A141" s="5"/>
      <c r="B141" s="14" t="s">
        <v>13</v>
      </c>
      <c r="C141" s="14" t="s">
        <v>12</v>
      </c>
      <c r="D141" s="14" t="s">
        <v>11</v>
      </c>
      <c r="E141" s="14" t="s">
        <v>10</v>
      </c>
      <c r="F141" s="14" t="s">
        <v>9</v>
      </c>
      <c r="G141" s="14" t="s">
        <v>13</v>
      </c>
      <c r="H141" s="13" t="s">
        <v>12</v>
      </c>
      <c r="I141" s="13" t="s">
        <v>11</v>
      </c>
      <c r="J141" s="13" t="s">
        <v>10</v>
      </c>
      <c r="K141" s="13" t="s">
        <v>9</v>
      </c>
    </row>
    <row r="142" spans="1:11" x14ac:dyDescent="0.25">
      <c r="A142" s="2">
        <v>2028</v>
      </c>
      <c r="B142" s="1">
        <f>SUM(B89:B92)</f>
        <v>302544</v>
      </c>
      <c r="C142" s="1">
        <f>SUM(C89:C92)</f>
        <v>382849</v>
      </c>
      <c r="D142" s="1">
        <f>SUM(D89:D92)</f>
        <v>2062666</v>
      </c>
      <c r="E142" s="1">
        <f>SUM(E89:E92)</f>
        <v>1900591</v>
      </c>
      <c r="F142" s="1">
        <f>SUM(F89:F92)</f>
        <v>836160</v>
      </c>
      <c r="G142" s="1">
        <f>SUM(G89:G92)</f>
        <v>990619</v>
      </c>
      <c r="H142" s="1">
        <f>SUM(H89:H92)</f>
        <v>506022</v>
      </c>
      <c r="I142" s="1">
        <f>SUM(I89:I92)</f>
        <v>839189</v>
      </c>
      <c r="J142" s="1">
        <f>SUM(J89:J92)</f>
        <v>1670120</v>
      </c>
      <c r="K142" s="1">
        <f>SUM(K89:K92)</f>
        <v>1707533</v>
      </c>
    </row>
    <row r="143" spans="1:11" x14ac:dyDescent="0.25">
      <c r="A143" s="2">
        <v>2029</v>
      </c>
      <c r="B143" s="1">
        <f>SUM(B93:B96)</f>
        <v>316510</v>
      </c>
      <c r="C143" s="1">
        <f>SUM(C93:C96)</f>
        <v>165644</v>
      </c>
      <c r="D143" s="1">
        <f>SUM(D93:D96)</f>
        <v>1917785</v>
      </c>
      <c r="E143" s="1">
        <f>SUM(E93:E96)</f>
        <v>1904148</v>
      </c>
      <c r="F143" s="1">
        <f>SUM(F93:F96)</f>
        <v>938397</v>
      </c>
      <c r="G143" s="1">
        <f>SUM(G93:G96)</f>
        <v>882039</v>
      </c>
      <c r="H143" s="1">
        <f>SUM(H93:H96)</f>
        <v>681426</v>
      </c>
      <c r="I143" s="1">
        <f>SUM(I93:I96)</f>
        <v>836810</v>
      </c>
      <c r="J143" s="1">
        <f>SUM(J93:J96)</f>
        <v>1647519</v>
      </c>
      <c r="K143" s="1">
        <f>SUM(K93:K96)</f>
        <v>1763390</v>
      </c>
    </row>
    <row r="144" spans="1:11" x14ac:dyDescent="0.25">
      <c r="A144" s="2">
        <v>2030</v>
      </c>
      <c r="B144" s="1">
        <f>SUM(B97:B100)</f>
        <v>508866</v>
      </c>
      <c r="C144" s="1">
        <f>SUM(C97:C100)</f>
        <v>401681</v>
      </c>
      <c r="D144" s="1">
        <f>SUM(D97:D100)</f>
        <v>1990480</v>
      </c>
      <c r="E144" s="1">
        <f>SUM(E97:E100)</f>
        <v>1865819</v>
      </c>
      <c r="F144" s="1">
        <f>SUM(F97:F100)</f>
        <v>1075172</v>
      </c>
      <c r="G144" s="1">
        <f>SUM(G97:G100)</f>
        <v>1134773</v>
      </c>
      <c r="H144" s="1">
        <f>SUM(H97:H100)</f>
        <v>781031</v>
      </c>
      <c r="I144" s="1">
        <f>SUM(I97:I100)</f>
        <v>775592</v>
      </c>
      <c r="J144" s="1">
        <f>SUM(J97:J100)</f>
        <v>1877408</v>
      </c>
      <c r="K144" s="1">
        <f>SUM(K97:K100)</f>
        <v>1821665</v>
      </c>
    </row>
    <row r="145" spans="1:11" x14ac:dyDescent="0.25">
      <c r="A145" s="2">
        <v>2031</v>
      </c>
      <c r="B145" s="1">
        <f>SUM(B101:B104)</f>
        <v>487132</v>
      </c>
      <c r="C145" s="1">
        <f>SUM(C101:C104)</f>
        <v>489254</v>
      </c>
      <c r="D145" s="1">
        <f>SUM(D101:D104)</f>
        <v>1837410</v>
      </c>
      <c r="E145" s="1">
        <f>SUM(E101:E104)</f>
        <v>2023384</v>
      </c>
      <c r="F145" s="1">
        <f>SUM(F101:F104)</f>
        <v>956128</v>
      </c>
      <c r="G145" s="1">
        <f>SUM(G101:G104)</f>
        <v>948958</v>
      </c>
      <c r="H145" s="1">
        <f>SUM(H101:H104)</f>
        <v>742219</v>
      </c>
      <c r="I145" s="1">
        <f>SUM(I101:I104)</f>
        <v>861727</v>
      </c>
      <c r="J145" s="1">
        <f>SUM(J101:J104)</f>
        <v>1851513</v>
      </c>
      <c r="K145" s="1">
        <f>SUM(K101:K104)</f>
        <v>1668595</v>
      </c>
    </row>
    <row r="148" spans="1:11" ht="28.5" x14ac:dyDescent="0.25">
      <c r="A148" s="12" t="s">
        <v>8</v>
      </c>
      <c r="B148" s="11"/>
      <c r="C148" s="11"/>
      <c r="D148" s="10"/>
      <c r="E148" s="10"/>
      <c r="F148" s="10"/>
      <c r="G148" s="10"/>
      <c r="H148" s="10"/>
      <c r="I148" s="10"/>
      <c r="J148" s="10"/>
      <c r="K148" s="9"/>
    </row>
    <row r="149" spans="1:11" x14ac:dyDescent="0.25">
      <c r="A149" s="8" t="s">
        <v>7</v>
      </c>
      <c r="B149" s="7" t="s">
        <v>6</v>
      </c>
      <c r="C149" s="7"/>
      <c r="D149" s="7"/>
      <c r="E149" s="7"/>
      <c r="F149" s="7"/>
      <c r="G149" s="7" t="s">
        <v>5</v>
      </c>
      <c r="H149" s="7"/>
      <c r="I149" s="7"/>
      <c r="J149" s="7"/>
      <c r="K149" s="6"/>
    </row>
    <row r="150" spans="1:11" x14ac:dyDescent="0.25">
      <c r="A150" s="5"/>
      <c r="B150" s="4" t="s">
        <v>4</v>
      </c>
      <c r="C150" s="4" t="s">
        <v>3</v>
      </c>
      <c r="D150" s="4" t="s">
        <v>2</v>
      </c>
      <c r="E150" s="4" t="s">
        <v>1</v>
      </c>
      <c r="F150" s="4" t="s">
        <v>0</v>
      </c>
      <c r="G150" s="4" t="s">
        <v>4</v>
      </c>
      <c r="H150" s="3" t="s">
        <v>3</v>
      </c>
      <c r="I150" s="3" t="s">
        <v>2</v>
      </c>
      <c r="J150" s="3" t="s">
        <v>1</v>
      </c>
      <c r="K150" s="3" t="s">
        <v>0</v>
      </c>
    </row>
    <row r="151" spans="1:11" x14ac:dyDescent="0.25">
      <c r="A151" s="2">
        <v>2028</v>
      </c>
      <c r="B151" s="1">
        <f>SUM(B112:B115)</f>
        <v>1502544</v>
      </c>
      <c r="C151" s="1">
        <f>SUM(C112:C115)</f>
        <v>1582849</v>
      </c>
      <c r="D151" s="1">
        <f>SUM(D112:D115)</f>
        <v>1562666</v>
      </c>
      <c r="E151" s="1">
        <f>SUM(E112:E115)</f>
        <v>1400591</v>
      </c>
      <c r="F151" s="1">
        <f>SUM(F112:F115)</f>
        <v>636160</v>
      </c>
      <c r="G151" s="1">
        <f>SUM(G112:G115)</f>
        <v>790619</v>
      </c>
      <c r="H151" s="1">
        <f>SUM(H112:H115)</f>
        <v>1406022</v>
      </c>
      <c r="I151" s="1">
        <f>SUM(I112:I115)</f>
        <v>1739189</v>
      </c>
      <c r="J151" s="1">
        <f>SUM(J112:J115)</f>
        <v>270120</v>
      </c>
      <c r="K151" s="1">
        <f>SUM(K112:K115)</f>
        <v>307533</v>
      </c>
    </row>
    <row r="152" spans="1:11" x14ac:dyDescent="0.25">
      <c r="A152" s="2">
        <v>2029</v>
      </c>
      <c r="B152" s="1">
        <f>SUM(B116:B119)</f>
        <v>1516510</v>
      </c>
      <c r="C152" s="1">
        <f>SUM(C116:C119)</f>
        <v>1365644</v>
      </c>
      <c r="D152" s="1">
        <f>SUM(D116:D119)</f>
        <v>1417785</v>
      </c>
      <c r="E152" s="1">
        <f>SUM(E116:E119)</f>
        <v>1404148</v>
      </c>
      <c r="F152" s="1">
        <f>SUM(F116:F119)</f>
        <v>738397</v>
      </c>
      <c r="G152" s="1">
        <f>SUM(G116:G119)</f>
        <v>682039</v>
      </c>
      <c r="H152" s="1">
        <f>SUM(H116:H119)</f>
        <v>1581426</v>
      </c>
      <c r="I152" s="1">
        <f>SUM(I116:I119)</f>
        <v>1736810</v>
      </c>
      <c r="J152" s="1">
        <f>SUM(J116:J119)</f>
        <v>247519</v>
      </c>
      <c r="K152" s="1">
        <f>SUM(K116:K119)</f>
        <v>363390</v>
      </c>
    </row>
    <row r="153" spans="1:11" x14ac:dyDescent="0.25">
      <c r="A153" s="2">
        <v>2030</v>
      </c>
      <c r="B153" s="1">
        <f>SUM(B120:B123)</f>
        <v>1708866</v>
      </c>
      <c r="C153" s="1">
        <f>SUM(C120:C123)</f>
        <v>1501681</v>
      </c>
      <c r="D153" s="1">
        <f>SUM(D120:D123)</f>
        <v>1490480</v>
      </c>
      <c r="E153" s="1">
        <f>SUM(E120:E123)</f>
        <v>1365819</v>
      </c>
      <c r="F153" s="1">
        <f>SUM(F120:F123)</f>
        <v>875172</v>
      </c>
      <c r="G153" s="1">
        <f>SUM(G120:G123)</f>
        <v>934773</v>
      </c>
      <c r="H153" s="1">
        <f>SUM(H120:H123)</f>
        <v>1681031</v>
      </c>
      <c r="I153" s="1">
        <f>SUM(I120:I123)</f>
        <v>1675592</v>
      </c>
      <c r="J153" s="1">
        <f>SUM(J120:J123)</f>
        <v>477408</v>
      </c>
      <c r="K153" s="1">
        <f>SUM(K120:K123)</f>
        <v>421665</v>
      </c>
    </row>
    <row r="154" spans="1:11" x14ac:dyDescent="0.25">
      <c r="A154" s="2">
        <v>2031</v>
      </c>
      <c r="B154" s="1">
        <f>SUM(B124:B127)</f>
        <v>1687132</v>
      </c>
      <c r="C154" s="1">
        <f>SUM(C124:C127)</f>
        <v>1689254</v>
      </c>
      <c r="D154" s="1">
        <f>SUM(D124:D127)</f>
        <v>1337410</v>
      </c>
      <c r="E154" s="1">
        <f>SUM(E124:E127)</f>
        <v>1523384</v>
      </c>
      <c r="F154" s="1">
        <f>SUM(F124:F127)</f>
        <v>756128</v>
      </c>
      <c r="G154" s="1">
        <f>SUM(G124:G127)</f>
        <v>748958</v>
      </c>
      <c r="H154" s="1">
        <f>SUM(H124:H127)</f>
        <v>1642219</v>
      </c>
      <c r="I154" s="1">
        <f>SUM(I124:I127)</f>
        <v>1761727</v>
      </c>
      <c r="J154" s="1">
        <f>SUM(J124:J127)</f>
        <v>451513</v>
      </c>
      <c r="K154" s="1">
        <f>SUM(K124:K127)</f>
        <v>268595</v>
      </c>
    </row>
  </sheetData>
  <mergeCells count="36">
    <mergeCell ref="A64:A66"/>
    <mergeCell ref="B64:K64"/>
    <mergeCell ref="B65:C65"/>
    <mergeCell ref="D65:E65"/>
    <mergeCell ref="F65:G65"/>
    <mergeCell ref="H65:I65"/>
    <mergeCell ref="J65:K65"/>
    <mergeCell ref="F84:G84"/>
    <mergeCell ref="I84:J84"/>
    <mergeCell ref="A86:C86"/>
    <mergeCell ref="A87:A88"/>
    <mergeCell ref="B87:C87"/>
    <mergeCell ref="D87:E87"/>
    <mergeCell ref="F87:G87"/>
    <mergeCell ref="H87:I87"/>
    <mergeCell ref="J87:K87"/>
    <mergeCell ref="G140:K140"/>
    <mergeCell ref="F106:G106"/>
    <mergeCell ref="I106:J106"/>
    <mergeCell ref="A109:C109"/>
    <mergeCell ref="A110:A111"/>
    <mergeCell ref="B110:C110"/>
    <mergeCell ref="D110:E110"/>
    <mergeCell ref="F110:G110"/>
    <mergeCell ref="H110:I110"/>
    <mergeCell ref="J110:K110"/>
    <mergeCell ref="A149:A150"/>
    <mergeCell ref="B149:F149"/>
    <mergeCell ref="G149:K149"/>
    <mergeCell ref="F129:G129"/>
    <mergeCell ref="I129:J129"/>
    <mergeCell ref="A132:A133"/>
    <mergeCell ref="B132:F132"/>
    <mergeCell ref="G132:K132"/>
    <mergeCell ref="A140:A141"/>
    <mergeCell ref="B140:F1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2026-03-09T07:46:04Z</dcterms:created>
  <dcterms:modified xsi:type="dcterms:W3CDTF">2026-03-09T07:48:06Z</dcterms:modified>
</cp:coreProperties>
</file>